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1d13287a8e4e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756d565111948f7"/>
    <x:sheet xmlns:r="http://schemas.openxmlformats.org/officeDocument/2006/relationships" name="Data &amp; Targets" sheetId="2" r:id="R025924c27bca4775"/>
    <x:sheet xmlns:r="http://schemas.openxmlformats.org/officeDocument/2006/relationships" name="_Chart Helpers" sheetId="3" r:id="R4b20cd4f71de414f"/>
    <x:sheet xmlns:r="http://schemas.openxmlformats.org/officeDocument/2006/relationships" name="Checks &amp; Sources" sheetId="4" r:id="R6df0b9674b26485b"/>
  </x:sheets>
</x:workbook>
</file>

<file path=xl/comments1.xml><?xml version="1.0" encoding="utf-8"?>
<x:comments xmlns:x="http://schemas.openxmlformats.org/spreadsheetml/2006/main">
  <x:authors>
    <x:author>tc={1E7FEC96-24FA-3E23-3C99-F717B808A3B4}</x:author>
    <x:author>tc={CCA4392A-4CF1-DD8F-50B0-3D202D263AFC}</x:author>
    <x:author>tc={CE5A4C71-BA0C-AA79-09A8-430BE38585E1}</x:author>
    <x:author>tc={54BF740B-B0B8-B9F9-4565-DBB34A4994AB}</x:author>
    <x:author>tc={7E698097-D085-F541-CEFD-7DB959E4DB97}</x:author>
  </x:authors>
  <x:commentList>
    <x:comment ref="C1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authenticated monthly cierres export. Definition: system cash + card + delivery sales. Reference: C:/Users/Elizabeth/Desktop/GestionPedidos/SistemaFinanzas2-main/frontend/src/hooks/useRegistrarCierreTotals.js</x:t>
        </x:r>
      </x:text>
    </x:comment>
    <x:comment ref="D1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authenticated monthly gastos/pagos export. Reference: C:/Users/Elizabeth/Desktop/GestionPedidos/SistemaFinanzas2-main/frontend/src/hooks/useRegistrarCierreTotals.js</x:t>
        </x:r>
      </x:text>
    </x:comment>
    <x:comment ref="G1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totalGeneral / deposit KPI from authenticated closures. References: C:/Users/Elizabeth/Desktop/GestionPedidos/SistemaFinanzas2-main/frontend/src/hooks/useRegistrarCierreTotals.js; C:/Users/Elizabeth/Desktop/GestionPedidos/SistemaFinanzas2-main/frontend/src/utils/kpi.js</x:t>
        </x:r>
      </x:text>
    </x:comment>
    <x:comment ref="I1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diferenciaReal from monthly closures. Reference: C:/Users/Elizabeth/Desktop/GestionPedidos/SistemaFinanzas2-main/frontend/src/hooks/useRegistrarCierreTotals.js</x:t>
        </x:r>
      </x:text>
    </x:comment>
    <x:comment ref="J15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Assumption: management-approved monthly System Sales target; enter only an authorized target.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<x:sst xmlns:x="http://schemas.openxmlformats.org/spreadsheetml/2006/main">
  <x:si>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SELECTED REPORTING PERIOD</x:t>
  </x:si>
  <x:si>
    <x:t xml:space="preserve">DATA CURRENT THROUGH</x:t>
  </x:si>
  <x:si>
    <x:t xml:space="preserve">HOW TO USE</x:t>
  </x:si>
  <x:si>
    <x:t xml:space="preserve">Paste or replace synthetic monthly actuals and targets in yellow cells B15:P26. Keep dates as real month-start dates.</x:t>
  </x:si>
  <x:si>
    <x:t xml:space="preserve">Choose Selected Period in C8. Dashboard KPIs, comparisons, variance status, funnel, and mix recalculate from that period.</x:t>
  </x:si>
</x:sst>
</file>

<file path=xl/styles.xml><?xml version="1.0" encoding="utf-8"?>
<x:styleSheet xmlns:x="http://schemas.openxmlformats.org/spreadsheetml/2006/main">
  <x:numFmts count="14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  <x:numFmt numFmtId="200" formatCode="mmm yyyy"/>
    <x:numFmt numFmtId="201" formatCode="&quot;Q&quot; #,##0;[Red](&quot;Q&quot; #,##0);-"/>
    <x:numFmt numFmtId="202" formatCode="0.0%;[Red](0.0%);-"/>
    <x:numFmt numFmtId="203" formatCode="yyyy-mm-dd"/>
    <x:numFmt numFmtId="204" formatCode="#,##0;[Red](#,##0);-"/>
    <x:numFmt numFmtId="205" formatCode="&quot;Q&quot; #,##0.00;[Red](&quot;Q&quot; #,##0.00);-"/>
  </x:numFmts>
  <x:fonts count="29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  <x:font>
      <x:sz val="11"/>
      <x:color rgb="FF0000FF"/>
      <x:name val="Arial"/>
    </x:font>
    <x:font>
      <x:sz val="9"/>
      <x:color rgb="FF000000"/>
      <x:name val="Arial"/>
    </x:font>
    <x:font>
      <x:sz val="11"/>
      <x:color rgb="FF000000"/>
      <x:name val="Arial"/>
    </x:font>
    <x:font>
      <x:sz val="9"/>
      <x:color rgb="FF008000"/>
      <x:name val="Arial"/>
    </x:font>
    <x:font>
      <x:b/>
      <x:sz val="9"/>
      <x:color rgb="FF7F6000"/>
      <x:name val="Arial"/>
    </x:font>
    <x:font>
      <x:b/>
      <x:i/>
      <x:sz val="11"/>
      <x:color rgb="FFD9E2EA"/>
      <x:name val="Arial"/>
    </x:font>
    <x:font>
      <x:sz val="11"/>
      <x:color rgb="FF17212B"/>
      <x:name val="Arial"/>
    </x:font>
    <x:font>
      <x:b/>
      <x:sz val="11"/>
      <x:color rgb="FF7F6000"/>
      <x:name val="Arial"/>
    </x:font>
    <x:font>
      <x:i/>
      <x:sz val="11"/>
      <x:color rgb="FF17212B"/>
      <x:name val="Arial"/>
    </x:font>
  </x:fonts>
  <x:fills count="2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  <x:fill>
      <x:patternFill patternType="solid">
        <x:fgColor rgb="FFFFF2CC"/>
      </x:patternFill>
    </x:fill>
    <x:fill>
      <x:patternFill patternType="solid">
        <x:fgColor rgb="FF244A6B"/>
      </x:patternFill>
    </x:fill>
    <x:fill>
      <x:patternFill patternType="solid">
        <x:fgColor rgb="FF19324A"/>
      </x:patternFill>
    </x:fill>
    <x:fill>
      <x:patternFill patternType="solid">
        <x:fgColor rgb="FFFFFFFF"/>
      </x:patternFill>
    </x:fill>
    <x:fill>
      <x:patternFill patternType="solid">
        <x:fgColor rgb="FF25313C"/>
      </x:patternFill>
    </x:fill>
    <x:fill>
      <x:patternFill patternType="solid">
        <x:fgColor rgb="FF0D1B2A"/>
      </x:patternFill>
    </x:fill>
    <x:fill>
      <x:patternFill patternType="solid">
        <x:fgColor rgb="FFF3F5F7"/>
      </x:patternFill>
    </x:fill>
    <x:fill>
      <x:patternFill patternType="solid">
        <x:fgColor rgb="FF223B53"/>
      </x:patternFill>
    </x:fill>
    <x:fill>
      <x:patternFill patternType="solid">
        <x:fgColor rgb="FFEAF2F8"/>
      </x:patternFill>
    </x:fill>
  </x:fills>
  <x:borders count="17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  <x:border>
      <x:right style="thin">
        <x:color rgb="FFD9E0E6"/>
      </x:right>
    </x:border>
    <x:border>
      <x:left style="thin">
        <x:color rgb="FFD9E0E6"/>
      </x:left>
      <x:right style="thin">
        <x:color rgb="FFD9E0E6"/>
      </x:right>
    </x:border>
    <x:border>
      <x:left style="thin">
        <x:color rgb="FFD9E0E6"/>
      </x:left>
    </x:border>
  </x:borders>
  <x:cellStyleXfs count="1">
    <x:xf numFmtId="0" fontId="0" fillId="0" borderId="0"/>
  </x:cellStyleXfs>
  <x:cellXfs count="183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  <x:xf numFmtId="200" fontId="18" fillId="5" borderId="2" xfId="0" applyNumberFormat="1" applyFont="1" applyFill="1" applyBorder="1" applyAlignment="1">
      <x:alignment horizontal="left" vertical="center"/>
    </x:xf>
    <x:xf numFmtId="200" fontId="17" fillId="6" borderId="1" xfId="0" applyNumberFormat="1" applyFont="1" applyFill="1" applyBorder="1" applyAlignment="1">
      <x:alignment horizontal="left" vertical="center"/>
    </x:xf>
    <x:xf numFmtId="0" fontId="4" fillId="6" borderId="1" xfId="0" applyNumberFormat="1" applyFont="1" applyFill="1" applyBorder="1" applyAlignment="1">
      <x:alignment horizontal="left" vertical="center" wrapText="1"/>
    </x:xf>
    <x:xf numFmtId="200" fontId="18" fillId="13" borderId="2" xfId="0" applyNumberFormat="1" applyFont="1" applyFill="1" applyBorder="1" applyAlignment="1">
      <x:alignment horizontal="left" vertical="center"/>
    </x:xf>
    <x:xf numFmtId="0" fontId="3" fillId="14" borderId="0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/>
    <x:xf numFmtId="0" fontId="8" fillId="14" borderId="0" xfId="0" applyNumberFormat="1" applyFont="1" applyFill="1" applyBorder="1"/>
    <x:xf numFmtId="0" fontId="8" fillId="14" borderId="0" xfId="0" applyNumberFormat="1" applyFont="1" applyFill="1" applyBorder="1" applyAlignment="1">
      <x:alignment horizontal="left"/>
    </x:xf>
    <x:xf numFmtId="0" fontId="5" fillId="15" borderId="1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8" fillId="15" borderId="1" xfId="0" applyNumberFormat="1" applyFont="1" applyFill="1" applyBorder="1"/>
    <x:xf numFmtId="0" fontId="8" fillId="15" borderId="1" xfId="0" applyNumberFormat="1" applyFont="1" applyFill="1" applyBorder="1" applyAlignment="1">
      <x:alignment wrapText="1"/>
    </x:xf>
    <x:xf numFmtId="0" fontId="8" fillId="15" borderId="1" xfId="0" applyNumberFormat="1" applyFont="1" applyFill="1" applyBorder="1" applyAlignment="1">
      <x:alignment horizontal="center" wrapText="1"/>
    </x:xf>
    <x:xf numFmtId="0" fontId="8" fillId="15" borderId="1" xfId="0" applyNumberFormat="1" applyFont="1" applyFill="1" applyBorder="1" applyAlignment="1">
      <x:alignment horizontal="center" vertical="center" wrapText="1"/>
    </x:xf>
    <x:xf numFmtId="164" fontId="18" fillId="13" borderId="2" xfId="0" applyNumberFormat="1" applyFont="1" applyFill="1" applyBorder="1" applyAlignment="1">
      <x:alignment horizontal="right" vertical="center"/>
    </x:xf>
    <x:xf numFmtId="165" fontId="18" fillId="13" borderId="2" xfId="0" applyNumberFormat="1" applyFont="1" applyFill="1" applyBorder="1" applyAlignment="1">
      <x:alignment horizontal="right" vertical="center"/>
    </x:xf>
    <x:xf numFmtId="167" fontId="18" fillId="13" borderId="2" xfId="0" applyNumberFormat="1" applyFont="1" applyFill="1" applyBorder="1" applyAlignment="1">
      <x:alignment horizontal="right" vertical="center"/>
    </x:xf>
    <x:xf numFmtId="166" fontId="18" fillId="13" borderId="2" xfId="0" applyNumberFormat="1" applyFont="1" applyFill="1" applyBorder="1" applyAlignment="1">
      <x:alignment horizontal="right" vertical="center"/>
    </x:xf>
    <x:xf numFmtId="0" fontId="0" fillId="13" borderId="0" xfId="0" applyNumberFormat="1" applyFont="1" applyFill="1" applyBorder="1"/>
    <x:xf numFmtId="0" fontId="20" fillId="13" borderId="0" xfId="0" applyNumberFormat="1" applyFont="1" applyFill="1" applyBorder="1"/>
    <x:xf numFmtId="0" fontId="20" fillId="13" borderId="2" xfId="0" applyNumberFormat="1" applyFont="1" applyFill="1" applyBorder="1"/>
    <x:xf numFmtId="0" fontId="20" fillId="13" borderId="2" xfId="0" applyNumberFormat="1" applyFont="1" applyFill="1" applyBorder="1" applyAlignment="1">
      <x:alignment horizontal="right"/>
    </x:xf>
    <x:xf numFmtId="166" fontId="18" fillId="16" borderId="2" xfId="0" applyNumberFormat="1" applyFont="1" applyFill="1" applyBorder="1" applyAlignment="1">
      <x:alignment horizontal="right" vertical="center"/>
    </x:xf>
    <x:xf numFmtId="166" fontId="21" fillId="16" borderId="2" xfId="0" applyNumberFormat="1" applyFont="1" applyFill="1" applyBorder="1" applyAlignment="1">
      <x:alignment horizontal="right" vertical="center"/>
    </x:xf>
    <x:xf numFmtId="166" fontId="21" fillId="16" borderId="1" xfId="0" applyNumberFormat="1" applyFont="1" applyFill="1" applyBorder="1" applyAlignment="1">
      <x:alignment horizontal="right" vertical="center"/>
    </x:xf>
    <x:xf numFmtId="168" fontId="18" fillId="16" borderId="2" xfId="0" applyNumberFormat="1" applyFont="1" applyFill="1" applyBorder="1" applyAlignment="1">
      <x:alignment horizontal="right" vertical="center"/>
    </x:xf>
    <x:xf numFmtId="168" fontId="21" fillId="16" borderId="2" xfId="0" applyNumberFormat="1" applyFont="1" applyFill="1" applyBorder="1" applyAlignment="1">
      <x:alignment horizontal="right" vertical="center"/>
    </x:xf>
    <x:xf numFmtId="168" fontId="21" fillId="16" borderId="1" xfId="0" applyNumberFormat="1" applyFont="1" applyFill="1" applyBorder="1" applyAlignment="1">
      <x:alignment horizontal="right" vertical="center"/>
    </x:xf>
    <x:xf numFmtId="0" fontId="0" fillId="16" borderId="0" xfId="0" applyNumberFormat="1" applyFont="1" applyFill="1" applyBorder="1"/>
    <x:xf numFmtId="0" fontId="22" fillId="16" borderId="0" xfId="0" applyNumberFormat="1" applyFont="1" applyFill="1" applyBorder="1"/>
    <x:xf numFmtId="0" fontId="22" fillId="16" borderId="1" xfId="0" applyNumberFormat="1" applyFont="1" applyFill="1" applyBorder="1"/>
    <x:xf numFmtId="0" fontId="22" fillId="16" borderId="1" xfId="0" applyNumberFormat="1" applyFont="1" applyFill="1" applyBorder="1" applyAlignment="1">
      <x:alignment horizontal="right"/>
    </x:xf>
    <x:xf numFmtId="200" fontId="18" fillId="13" borderId="2" xfId="0" applyNumberFormat="1" applyFont="1" applyFill="1" applyBorder="1" applyAlignment="1">
      <x:alignment horizontal="right" vertical="center"/>
    </x:xf>
    <x:xf numFmtId="201" fontId="18" fillId="13" borderId="2" xfId="0" applyNumberFormat="1" applyFont="1" applyFill="1" applyBorder="1" applyAlignment="1">
      <x:alignment horizontal="right" vertical="center"/>
    </x:xf>
    <x:xf numFmtId="201" fontId="21" fillId="16" borderId="1" xfId="0" applyNumberFormat="1" applyFont="1" applyFill="1" applyBorder="1" applyAlignment="1">
      <x:alignment horizontal="right" vertical="center"/>
    </x:xf>
    <x:xf numFmtId="201" fontId="20" fillId="13" borderId="2" xfId="0" applyNumberFormat="1" applyFont="1" applyFill="1" applyBorder="1" applyAlignment="1">
      <x:alignment horizontal="right"/>
    </x:xf>
    <x:xf numFmtId="201" fontId="22" fillId="16" borderId="1" xfId="0" applyNumberFormat="1" applyFont="1" applyFill="1" applyBorder="1" applyAlignment="1">
      <x:alignment horizontal="right"/>
    </x:xf>
    <x:xf numFmtId="202" fontId="21" fillId="16" borderId="1" xfId="0" applyNumberFormat="1" applyFont="1" applyFill="1" applyBorder="1" applyAlignment="1">
      <x:alignment horizontal="right" vertical="center"/>
    </x:xf>
    <x:xf numFmtId="201" fontId="20" fillId="13" borderId="2" xfId="0" applyNumberFormat="1" applyFont="1" applyFill="1" applyBorder="1" applyAlignment="1">
      <x:alignment horizontal="right" vertical="center"/>
    </x:xf>
    <x:xf numFmtId="201" fontId="22" fillId="16" borderId="1" xfId="0" applyNumberFormat="1" applyFont="1" applyFill="1" applyBorder="1" applyAlignment="1">
      <x:alignment horizontal="right" vertical="center"/>
    </x:xf>
    <x:xf numFmtId="0" fontId="5" fillId="14" borderId="0" xfId="0" applyNumberFormat="1" applyFont="1" applyFill="1" applyBorder="1" applyAlignment="1">
      <x:alignment horizontal="left" vertical="center"/>
    </x:xf>
    <x:xf numFmtId="0" fontId="5" fillId="17" borderId="1" xfId="0" applyNumberFormat="1" applyFont="1" applyFill="1" applyBorder="1" applyAlignment="1">
      <x:alignment horizontal="center" vertical="center" wrapText="1"/>
    </x:xf>
    <x:xf numFmtId="0" fontId="4" fillId="16" borderId="1" xfId="0" applyNumberFormat="1" applyFont="1" applyFill="1" applyBorder="1" applyAlignment="1">
      <x:alignment horizontal="left" vertical="center"/>
    </x:xf>
    <x:xf numFmtId="169" fontId="18" fillId="16" borderId="2" xfId="0" applyNumberFormat="1" applyFont="1" applyFill="1" applyBorder="1" applyAlignment="1">
      <x:alignment horizontal="right" vertical="center"/>
    </x:xf>
    <x:xf numFmtId="169" fontId="23" fillId="16" borderId="2" xfId="0" applyNumberFormat="1" applyFont="1" applyFill="1" applyBorder="1" applyAlignment="1">
      <x:alignment horizontal="right" vertical="center"/>
    </x:xf>
    <x:xf numFmtId="166" fontId="23" fillId="16" borderId="2" xfId="0" applyNumberFormat="1" applyFont="1" applyFill="1" applyBorder="1" applyAlignment="1">
      <x:alignment horizontal="right" vertical="center"/>
    </x:xf>
    <x:xf numFmtId="169" fontId="23" fillId="16" borderId="1" xfId="0" applyNumberFormat="1" applyFont="1" applyFill="1" applyBorder="1" applyAlignment="1">
      <x:alignment horizontal="right" vertical="center"/>
    </x:xf>
    <x:xf numFmtId="166" fontId="23" fillId="16" borderId="1" xfId="0" applyNumberFormat="1" applyFont="1" applyFill="1" applyBorder="1" applyAlignment="1">
      <x:alignment horizontal="right" vertical="center"/>
    </x:xf>
    <x:xf numFmtId="201" fontId="23" fillId="16" borderId="1" xfId="0" applyNumberFormat="1" applyFont="1" applyFill="1" applyBorder="1" applyAlignment="1">
      <x:alignment horizontal="right" vertical="center"/>
    </x:xf>
    <x:xf numFmtId="0" fontId="17" fillId="13" borderId="1" xfId="0" applyNumberFormat="1" applyFont="1" applyFill="1" applyBorder="1" applyAlignment="1">
      <x:alignment horizontal="left" vertical="center"/>
    </x:xf>
    <x:xf numFmtId="0" fontId="24" fillId="13" borderId="1" xfId="0" applyNumberFormat="1" applyFont="1" applyFill="1" applyBorder="1" applyAlignment="1">
      <x:alignment horizontal="left" vertical="center"/>
    </x:xf>
    <x:xf numFmtId="0" fontId="24" fillId="13" borderId="2" xfId="0" applyNumberFormat="1" applyFont="1" applyFill="1" applyBorder="1" applyAlignment="1">
      <x:alignment horizontal="left" vertical="center"/>
    </x:xf>
    <x:xf numFmtId="0" fontId="24" fillId="13" borderId="2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 applyAlignment="1">
      <x:alignment horizontal="left" vertical="center"/>
    </x:xf>
    <x:xf numFmtId="202" fontId="4" fillId="6" borderId="1" xfId="0" applyNumberFormat="1" applyFont="1" applyFill="1" applyBorder="1" applyAlignment="1">
      <x:alignment horizontal="left" vertical="center"/>
    </x:xf>
    <x:xf numFmtId="201" fontId="11" fillId="10" borderId="9" xfId="0" applyNumberFormat="1" applyFont="1" applyFill="1" applyBorder="1" applyAlignment="1">
      <x:alignment horizontal="left" vertical="center"/>
    </x:xf>
    <x:xf numFmtId="202" fontId="11" fillId="10" borderId="9" xfId="0" applyNumberFormat="1" applyFont="1" applyFill="1" applyBorder="1" applyAlignment="1">
      <x:alignment horizontal="left" vertical="center"/>
    </x:xf>
    <x:xf numFmtId="202" fontId="12" fillId="10" borderId="11" xfId="0" applyNumberFormat="1" applyFont="1" applyFill="1" applyBorder="1" applyAlignment="1">
      <x:alignment horizontal="right" vertical="center"/>
    </x:xf>
    <x:xf numFmtId="202" fontId="5" fillId="10" borderId="12" xfId="0" applyNumberFormat="1" applyFont="1" applyFill="1" applyBorder="1" applyAlignment="1">
      <x:alignment horizontal="right" vertical="center"/>
    </x:xf>
    <x:xf numFmtId="201" fontId="6" fillId="10" borderId="1" xfId="0" applyNumberFormat="1" applyFont="1" applyFill="1" applyBorder="1" applyAlignment="1">
      <x:alignment horizontal="right" vertical="center"/>
    </x:xf>
    <x:xf numFmtId="202" fontId="6" fillId="10" borderId="1" xfId="0" applyNumberFormat="1" applyFont="1" applyFill="1" applyBorder="1" applyAlignment="1">
      <x:alignment horizontal="right" vertical="center"/>
    </x:xf>
    <x:xf numFmtId="0" fontId="0" fillId="18" borderId="0" xfId="0" applyNumberFormat="1" applyFont="1" applyFill="1" applyBorder="1"/>
    <x:xf numFmtId="0" fontId="8" fillId="18" borderId="0" xfId="0" applyNumberFormat="1" applyFont="1" applyFill="1" applyBorder="1"/>
    <x:xf numFmtId="0" fontId="8" fillId="18" borderId="0" xfId="0" applyNumberFormat="1" applyFont="1" applyFill="1" applyBorder="1" applyAlignment="1">
      <x:alignment wrapText="1"/>
    </x:xf>
    <x:xf numFmtId="0" fontId="25" fillId="18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0" fillId="19" borderId="0" xfId="0" applyNumberFormat="1" applyFont="1" applyFill="1" applyBorder="1"/>
    <x:xf numFmtId="203" fontId="0" fillId="19" borderId="0" xfId="0" applyNumberFormat="1" applyFont="1" applyFill="1" applyBorder="1"/>
    <x:xf numFmtId="0" fontId="26" fillId="19" borderId="0" xfId="0" applyNumberFormat="1" applyFont="1" applyFill="1" applyBorder="1"/>
    <x:xf numFmtId="203" fontId="26" fillId="19" borderId="0" xfId="0" applyNumberFormat="1" applyFont="1" applyFill="1" applyBorder="1"/>
    <x:xf numFmtId="0" fontId="26" fillId="19" borderId="14" xfId="0" applyNumberFormat="1" applyFont="1" applyFill="1" applyBorder="1"/>
    <x:xf numFmtId="0" fontId="26" fillId="19" borderId="15" xfId="0" applyNumberFormat="1" applyFont="1" applyFill="1" applyBorder="1"/>
    <x:xf numFmtId="203" fontId="26" fillId="19" borderId="15" xfId="0" applyNumberFormat="1" applyFont="1" applyFill="1" applyBorder="1"/>
    <x:xf numFmtId="0" fontId="26" fillId="19" borderId="16" xfId="0" applyNumberFormat="1" applyFont="1" applyFill="1" applyBorder="1"/>
    <x:xf numFmtId="0" fontId="0" fillId="20" borderId="0" xfId="0" applyNumberFormat="1" applyFont="1" applyFill="1" applyBorder="1"/>
    <x:xf numFmtId="0" fontId="8" fillId="20" borderId="0" xfId="0" applyNumberFormat="1" applyFont="1" applyFill="1" applyBorder="1"/>
    <x:xf numFmtId="0" fontId="8" fillId="20" borderId="1" xfId="0" applyNumberFormat="1" applyFont="1" applyFill="1" applyBorder="1"/>
    <x:xf numFmtId="0" fontId="8" fillId="20" borderId="1" xfId="0" applyNumberFormat="1" applyFont="1" applyFill="1" applyBorder="1" applyAlignment="1">
      <x:alignment wrapText="1"/>
    </x:xf>
    <x:xf numFmtId="0" fontId="8" fillId="2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0" fontId="27" fillId="13" borderId="1" xfId="0" applyNumberFormat="1" applyFont="1" applyFill="1" applyBorder="1" applyAlignment="1">
      <x:alignment wrapText="1"/>
    </x:xf>
    <x:xf numFmtId="0" fontId="27" fillId="13" borderId="1" xfId="0" applyNumberFormat="1" applyFont="1" applyFill="1" applyBorder="1" applyAlignment="1">
      <x:alignment horizontal="center" wrapText="1"/>
    </x:xf>
    <x:xf numFmtId="0" fontId="26" fillId="16" borderId="0" xfId="0" applyNumberFormat="1" applyFont="1" applyFill="1" applyBorder="1"/>
    <x:xf numFmtId="0" fontId="26" fillId="16" borderId="1" xfId="0" applyNumberFormat="1" applyFont="1" applyFill="1" applyBorder="1"/>
    <x:xf numFmtId="0" fontId="26" fillId="16" borderId="1" xfId="0" applyNumberFormat="1" applyFont="1" applyFill="1" applyBorder="1" applyAlignment="1">
      <x:alignment wrapText="1"/>
    </x:xf>
    <x:xf numFmtId="0" fontId="26" fillId="16" borderId="1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/>
    <x:xf numFmtId="0" fontId="28" fillId="21" borderId="0" xfId="0" applyNumberFormat="1" applyFont="1" applyFill="1" applyBorder="1"/>
    <x:xf numFmtId="0" fontId="28" fillId="21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C62828"/>
      </x:font>
      <x:fill>
        <x:patternFill patternType="solid">
          <x:bgColor rgb="FFFCE8E6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E7D32"/>
      </x:font>
      <x:fill>
        <x:patternFill patternType="solid">
          <x:bgColor rgb="FFE2F0D9"/>
        </x:patternFill>
      </x:fill>
    </x:dxf>
    <x:dxf>
      <x:font>
        <x:b/>
        <x:color rgb="FFC62828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c45ff85d54aaa" /><Relationship Type="http://schemas.openxmlformats.org/officeDocument/2006/relationships/theme" Target="/xl/theme/theme1.xml" Id="Rfecb4706fcbb4289" /><Relationship Type="http://schemas.openxmlformats.org/officeDocument/2006/relationships/sharedStrings" Target="/xl/sharedStrings.xml" Id="R50f1bd62c6ce45a7" /><Relationship Type="http://schemas.openxmlformats.org/officeDocument/2006/relationships/worksheet" Target="/xl/worksheets/sheet1.xml" Id="R0756d565111948f7" /><Relationship Type="http://schemas.openxmlformats.org/officeDocument/2006/relationships/worksheet" Target="/xl/worksheets/sheet2.xml" Id="R025924c27bca4775" /><Relationship Type="http://schemas.openxmlformats.org/officeDocument/2006/relationships/worksheet" Target="/xl/worksheets/sheet3.xml" Id="R4b20cd4f71de414f" /><Relationship Type="http://schemas.openxmlformats.org/officeDocument/2006/relationships/worksheet" Target="/xl/worksheets/sheet4.xml" Id="R6df0b9674b26485b" /><Relationship Type="http://schemas.microsoft.com/office/2017/10/relationships/person" Target="/xl/persons/person.xml" Id="R9e3d48100a4b4b0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937d77179c747be" /><Relationship Type="http://schemas.openxmlformats.org/officeDocument/2006/relationships/chart" Target="/xl/drawings/charts/chart2.xml" Id="R4bc3b37be4b34098" /><Relationship Type="http://schemas.openxmlformats.org/officeDocument/2006/relationships/chart" Target="/xl/drawings/charts/chart3.xml" Id="Rf67c3894b1e74c85" /><Relationship Type="http://schemas.openxmlformats.org/officeDocument/2006/relationships/chart" Target="/xl/drawings/charts/chart4.xml" Id="R5a46d276e11d4704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Monthly System Sales vs Target (GTQ)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1"/>
        <c:ser>
          <c:idx val="0"/>
          <c:order val="0"/>
          <c:tx>
            <c:v>System Sales</c:v>
          </c:tx>
          <c:spPr>
            <a:solidFill xmlns:a="http://schemas.openxmlformats.org/drawingml/2006/main">
              <a:srgbClr val="39C6F0"/>
            </a:solidFill>
          </c:spPr>
          <c:marker>
            <c:symbol val="none"/>
          </c:marker>
          <c:cat>
            <c:strRef>
              <c:f>'_Chart Helpers'!$H$2:$H$13</c:f>
              <c:strCache>
                <c:ptCount val="0"/>
              </c:strCache>
            </c:strRef>
          </c:cat>
          <c:val>
            <c:numRef>
              <c:f>'_Chart Helpers'!$I$2:$I$13</c:f>
              <c:numCache>
                <c:formatCode>"Q" #,##0;[Red]("Q" #,##0);-</c:formatCode>
                <c:ptCount val="0"/>
              </c:numCache>
            </c:numRef>
          </c:val>
        </c:ser>
        <c:ser>
          <c:idx val="1"/>
          <c:order val="1"/>
          <c:tx>
            <c:v>Target</c:v>
          </c:tx>
          <c:spPr>
            <a:solidFill xmlns:a="http://schemas.openxmlformats.org/drawingml/2006/main">
              <a:srgbClr val="F4B000"/>
            </a:solidFill>
          </c:spPr>
          <c:marker>
            <c:symbol val="none"/>
          </c:marker>
          <c:cat>
            <c:strRef>
              <c:f>'_Chart Helpers'!$H$2:$H$13</c:f>
              <c:strCache>
                <c:ptCount val="0"/>
              </c:strCache>
            </c:strRef>
          </c:cat>
          <c:val>
            <c:numRef>
              <c:f>'_Chart Helpers'!$J$2:$J$13</c:f>
              <c:numCache>
                <c:formatCode>"Q" #,##0;[Red]("Q" 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038433"/>
        <c:axId val="982302182"/>
      </c:lineChart>
      <c:catAx>
        <c:axId val="571038433"/>
        <c:scaling>
          <c:orientation val="minMax"/>
        </c:scaling>
        <c:delete val="0"/>
        <c:axPos val="b"/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982302182"/>
        <c:crosses val="autoZero"/>
        <c:lblAlgn val="ctr"/>
        <c:lblOffset val="100"/>
        <c:noMultiLvlLbl val="0"/>
      </c:catAx>
      <c:valAx>
        <c:axId val="982302182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&quot;Q&quot; #,##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571038433"/>
        <c:crosses val="autoZero"/>
        <c:crossBetween val="between"/>
      </c:valAx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charts/chart2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Operating Expenses vs Budget (GTQ)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v>Operating Expenses</c:v>
          </c:tx>
          <c:spPr>
            <a:solidFill xmlns:a="http://schemas.openxmlformats.org/drawingml/2006/main">
              <a:srgbClr val="38C997"/>
            </a:solidFill>
          </c:spPr>
          <c:cat>
            <c:strRef>
              <c:f>'_Chart Helpers'!$L$2:$L$13</c:f>
              <c:strCache>
                <c:ptCount val="0"/>
              </c:strCache>
            </c:strRef>
          </c:cat>
          <c:val>
            <c:numRef>
              <c:f>'_Chart Helpers'!$M$2:$M$13</c:f>
              <c:numCache>
                <c:formatCode>"Q" #,##0;[Red]("Q" #,##0);-</c:formatCode>
                <c:ptCount val="0"/>
              </c:numCache>
            </c:numRef>
          </c:val>
        </c:ser>
        <c:ser>
          <c:idx val="1"/>
          <c:order val="1"/>
          <c:tx>
            <c:v>Budget</c:v>
          </c:tx>
          <c:spPr>
            <a:solidFill xmlns:a="http://schemas.openxmlformats.org/drawingml/2006/main">
              <a:srgbClr val="F27030"/>
            </a:solidFill>
          </c:spPr>
          <c:cat>
            <c:strRef>
              <c:f>'_Chart Helpers'!$L$2:$L$13</c:f>
              <c:strCache>
                <c:ptCount val="0"/>
              </c:strCache>
            </c:strRef>
          </c:cat>
          <c:val>
            <c:numRef>
              <c:f>'_Chart Helpers'!$N$2:$N$13</c:f>
              <c:numCache>
                <c:formatCode>"Q" #,##0;[Red]("Q" 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62807"/>
        <c:axId val="1313677059"/>
      </c:barChart>
      <c:catAx>
        <c:axId val="376762807"/>
        <c:scaling>
          <c:orientation val="minMax"/>
        </c:scaling>
        <c:delete val="0"/>
        <c:axPos val="b"/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1313677059"/>
        <c:crosses val="autoZero"/>
        <c:lblAlgn val="ctr"/>
        <c:lblOffset val="100"/>
        <c:noMultiLvlLbl val="0"/>
      </c:catAx>
      <c:valAx>
        <c:axId val="1313677059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&quot;Q&quot; #,##0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376762807"/>
        <c:crosses val="autoZero"/>
        <c:crossBetween val="between"/>
      </c:valAx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charts/chart3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Selected-period Cash Flow Bridge (GTQ)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bar"/>
        <c:grouping val="clustered"/>
        <c:varyColors val="1"/>
        <c:ser>
          <c:idx val="0"/>
          <c:order val="0"/>
          <c:tx>
            <c:v>Amount</c:v>
          </c:tx>
          <c:spPr>
            <a:solidFill xmlns:a="http://schemas.openxmlformats.org/drawingml/2006/main">
              <a:srgbClr val="39C6F0"/>
            </a:solidFill>
          </c:spPr>
          <c:cat>
            <c:strRef>
              <c:f>'_Chart Helpers'!$P$2:$P$6</c:f>
              <c:strCache>
                <c:ptCount val="0"/>
              </c:strCache>
            </c:strRef>
          </c:cat>
          <c:val>
            <c:numRef>
              <c:f>'_Chart Helpers'!$Q$2:$Q$6</c:f>
              <c:numCache>
                <c:formatCode>"Q" #,##0;[Red]("Q" 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2910587"/>
        <c:axId val="2009006557"/>
      </c:barChart>
      <c:catAx>
        <c:axId val="1442910587"/>
        <c:scaling>
          <c:orientation val="maxMin"/>
        </c:scaling>
        <c:delete val="0"/>
        <c:axPos val="l"/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&quot;Q&quot; #,##0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2009006557"/>
        <c:crosses val="autoZero"/>
        <c:lblAlgn val="ctr"/>
        <c:lblOffset val="100"/>
        <c:noMultiLvlLbl val="0"/>
      </c:catAx>
      <c:valAx>
        <c:axId val="2009006557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0,&quot;K&quot;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1442910587"/>
        <c:crosses val="max"/>
        <c:crossBetween val="between"/>
      </c:valAx>
      <c:spPr>
        <a:solidFill xmlns:a="http://schemas.openxmlformats.org/drawingml/2006/main">
          <a:srgbClr val="16212C"/>
        </a:solidFill>
      </c:spPr>
    </c:plotArea>
    <c:plotVisOnly val="1"/>
  </c:chart>
  <c:spPr>
    <a:solidFill xmlns:a="http://schemas.openxmlformats.org/drawingml/2006/main">
      <a:srgbClr val="16212C"/>
    </a:solidFill>
  </c:spPr>
</c:chartSpace>
</file>

<file path=xl/drawings/charts/chart4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Selected-period Sales Mix by Channel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pieChart>
        <c:ser>
          <c:idx val="0"/>
          <c:order val="0"/>
          <c:tx>
            <c:v>Sales</c:v>
          </c:tx>
          <c:cat>
            <c:strRef>
              <c:f>'_Chart Helpers'!$S$2:$S$4</c:f>
              <c:strCache>
                <c:ptCount val="0"/>
              </c:strCache>
            </c:strRef>
          </c:cat>
          <c:val>
            <c:numRef>
              <c:f>'_Chart Helpers'!$T$2:$T$4</c:f>
              <c:numCache>
                <c:formatCode>"Q" #,##0;[Red]("Q" 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15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37d77179c747be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c3b37be4b34098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9</xdr:col>
      <xdr:colOff>0</xdr:colOff>
      <xdr:row>41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7c3894b1e74c85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17</xdr:col>
      <xdr:colOff>0</xdr:colOff>
      <xdr:row>41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46d276e11d4704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Elizabeth" id="{9776A076-5A1B-4CE1-8B98-5F59AB077734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15" dT="2026-07-17T21:51:37.721" personId="{9776A076-5A1B-4CE1-8B98-5F59AB077734}" id="{1E7FEC96-24FA-3E23-3C99-F717B808A3B4}">
    <xltc:text>Source: authenticated monthly cierres export. Definition: system cash + card + delivery sales. Reference: C:/Users/Elizabeth/Desktop/GestionPedidos/SistemaFinanzas2-main/frontend/src/hooks/useRegistrarCierreTotals.js</xltc:text>
  </xltc:threadedComment>
  <xltc:threadedComment ref="D15" dT="2026-07-17T21:51:37.723" personId="{9776A076-5A1B-4CE1-8B98-5F59AB077734}" id="{CCA4392A-4CF1-DD8F-50B0-3D202D263AFC}">
    <xltc:text>Source: authenticated monthly gastos/pagos export. Reference: C:/Users/Elizabeth/Desktop/GestionPedidos/SistemaFinanzas2-main/frontend/src/hooks/useRegistrarCierreTotals.js</xltc:text>
  </xltc:threadedComment>
  <xltc:threadedComment ref="G15" dT="2026-07-17T21:51:37.723" personId="{9776A076-5A1B-4CE1-8B98-5F59AB077734}" id="{CE5A4C71-BA0C-AA79-09A8-430BE38585E1}">
    <xltc:text>Source: totalGeneral / deposit KPI from authenticated closures. References: C:/Users/Elizabeth/Desktop/GestionPedidos/SistemaFinanzas2-main/frontend/src/hooks/useRegistrarCierreTotals.js; C:/Users/Elizabeth/Desktop/GestionPedidos/SistemaFinanzas2-main/frontend/src/utils/kpi.js</xltc:text>
  </xltc:threadedComment>
  <xltc:threadedComment ref="I15" dT="2026-07-17T21:51:37.724" personId="{9776A076-5A1B-4CE1-8B98-5F59AB077734}" id="{54BF740B-B0B8-B9F9-4565-DBB34A4994AB}">
    <xltc:text>Source: diferenciaReal from monthly closures. Reference: C:/Users/Elizabeth/Desktop/GestionPedidos/SistemaFinanzas2-main/frontend/src/hooks/useRegistrarCierreTotals.js</xltc:text>
  </xltc:threadedComment>
  <xltc:threadedComment ref="J15" dT="2026-07-17T21:51:37.724" personId="{9776A076-5A1B-4CE1-8B98-5F59AB077734}" id="{7E698097-D085-F541-CEFD-7DB959E4DB97}">
    <xltc:text>Assumption: management-approved monthly System Sales target; enter only an authorized target.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8bd852add4e44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16f4751ceba04bcd" /><Relationship Type="http://schemas.openxmlformats.org/officeDocument/2006/relationships/vmlDrawing" Target="/xl/drawings/vmldrawing.vml" Id="R3895b94dfe1645b7" /><Relationship Type="http://schemas.microsoft.com/office/2017/10/relationships/threadedComment" Target="/xl/threadedcomments/threadedcomment.xml" Id="Red71c9ba530541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2" width="20" style="27" customWidth="1"/>
    <x:col min="3" max="5" width="11" style="27" customWidth="1"/>
    <x:col min="6" max="17" width="13" style="27" customWidth="1"/>
    <x:col min="18" max="16384" width="8.83203125" style="27" customWidth="0"/>
  </x:cols>
  <x:sheetData>
    <x:row r="2" ht="24" customHeight="1">
      <x:c r="B2" s="39" t="str">
        <x:v>Financial Performance Dashboard</x:v>
      </x:c>
      <x:c r="C2" s="39"/>
      <x:c r="D2" s="39"/>
      <x:c r="E2" s="39"/>
      <x:c r="F2" s="39"/>
      <x:c r="G2" s="39"/>
      <x:c r="H2" s="39"/>
      <x:c r="I2" s="39"/>
      <x:c r="J2" s="40" t="str">
        <x:v>SELECTED REPORTING PERIOD</x:v>
      </x:c>
      <x:c r="K2" s="41" t="s">
        <x:v>0</x:v>
      </x:c>
      <x:c r="L2" s="41" t="s">
        <x:v>0</x:v>
      </x:c>
      <x:c r="M2" s="42" t="s">
        <x:v>0</x:v>
      </x:c>
      <x:c r="N2" s="40" t="str">
        <x:v>DATA CURRENT THROUGH</x:v>
      </x:c>
      <x:c r="O2" s="41" t="s">
        <x:v>1</x:v>
      </x:c>
      <x:c r="P2" s="41" t="s">
        <x:v>1</x:v>
      </x:c>
      <x:c r="Q2" s="42" t="s">
        <x:v>1</x:v>
      </x:c>
    </x:row>
    <x:row r="3" ht="24" customHeight="1">
      <x:c r="B3" s="38" t="str">
        <x:v>Executive view — monthly actuals, targets, cash controls and payment mix</x:v>
      </x:c>
      <x:c r="C3" s="38"/>
      <x:c r="D3" s="38"/>
      <x:c r="E3" s="38"/>
      <x:c r="F3" s="38"/>
      <x:c r="G3" s="38"/>
      <x:c r="H3" s="38"/>
      <x:c r="I3" s="38"/>
      <x:c r="J3" s="43" t="n">
        <x:f>'Data &amp; Targets'!$C$9</x:f>
        <x:v>46174</x:v>
      </x:c>
      <x:c r="K3" s="44"/>
      <x:c r="L3" s="44"/>
      <x:c r="M3" s="45"/>
      <x:c r="N3" s="43" t="str">
        <x:f>IF('Data &amp; Targets'!$C$10="","Not loaded",'Data &amp; Targets'!$C$10)</x:f>
        <x:v>Not loaded</x:v>
      </x:c>
      <x:c r="O3" s="44"/>
      <x:c r="P3" s="44"/>
      <x:c r="Q3" s="45"/>
    </x:row>
    <x:row r="4" ht="20" customHeight="1">
      <x:c r="B4" s="46" t="str">
        <x:f>"Status: "&amp;'Data &amp; Targets'!$C$11</x:f>
        <x:v>Status: No actual financial data loaded — authenticated export required</x:v>
      </x:c>
      <x:c r="C4" s="46"/>
      <x:c r="D4" s="46"/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</x:row>
    <x:row r="5" ht="20" customHeight="1">
      <x:c r="B5" s="47" t="str">
        <x:v>SYSTEM SALES</x:v>
      </x:c>
      <x:c r="C5" s="48"/>
      <x:c r="D5" s="48"/>
      <x:c r="E5" s="49"/>
      <x:c r="F5" s="47" t="str">
        <x:v>OPERATING EXPENSES</x:v>
      </x:c>
      <x:c r="G5" s="48"/>
      <x:c r="H5" s="48"/>
      <x:c r="I5" s="49"/>
      <x:c r="J5" s="47" t="str">
        <x:v>NET OPERATING CASH</x:v>
      </x:c>
      <x:c r="K5" s="48"/>
      <x:c r="L5" s="48"/>
      <x:c r="M5" s="49"/>
      <x:c r="N5" s="47" t="str">
        <x:v>EXPENSE RATE</x:v>
      </x:c>
      <x:c r="O5" s="48"/>
      <x:c r="P5" s="48"/>
      <x:c r="Q5" s="49"/>
    </x:row>
    <x:row r="6" ht="27" customHeight="1">
      <x:c r="B6" s="145" t="str">
        <x:f>'_Chart Helpers'!$B$2</x:f>
      </x:c>
      <x:c r="C6" s="51"/>
      <x:c r="D6" s="51"/>
      <x:c r="E6" s="52"/>
      <x:c r="F6" s="145" t="str">
        <x:f>'_Chart Helpers'!$B$3</x:f>
      </x:c>
      <x:c r="G6" s="51"/>
      <x:c r="H6" s="51"/>
      <x:c r="I6" s="52"/>
      <x:c r="J6" s="145" t="str">
        <x:f>'_Chart Helpers'!$B$4</x:f>
      </x:c>
      <x:c r="K6" s="54"/>
      <x:c r="L6" s="54"/>
      <x:c r="M6" s="55"/>
      <x:c r="N6" s="146" t="str">
        <x:f>'_Chart Helpers'!$B$5</x:f>
      </x:c>
      <x:c r="O6" s="54"/>
      <x:c r="P6" s="54"/>
      <x:c r="Q6" s="55"/>
    </x:row>
    <x:row r="7" ht="27" customHeight="1">
      <x:c r="B7" s="50"/>
      <x:c r="C7" s="51"/>
      <x:c r="D7" s="51"/>
      <x:c r="E7" s="52"/>
      <x:c r="F7" s="50"/>
      <x:c r="G7" s="51"/>
      <x:c r="H7" s="51"/>
      <x:c r="I7" s="52"/>
      <x:c r="J7" s="53"/>
      <x:c r="K7" s="54"/>
      <x:c r="L7" s="54"/>
      <x:c r="M7" s="55"/>
      <x:c r="N7" s="53"/>
      <x:c r="O7" s="54"/>
      <x:c r="P7" s="54"/>
      <x:c r="Q7" s="55"/>
    </x:row>
    <x:row r="8" ht="20" customHeight="1">
      <x:c r="B8" s="147" t="str">
        <x:f>IF('_Chart Helpers'!$D$2="","",IFERROR('_Chart Helpers'!$B$2/'_Chart Helpers'!$D$2-1,""))</x:f>
      </x:c>
      <x:c r="C8" s="14" t="str">
        <x:v>vs prior</x:v>
      </x:c>
      <x:c r="D8" s="148" t="str">
        <x:f>IFERROR('_Chart Helpers'!$B$2/'_Chart Helpers'!$C$2-1,"")</x:f>
      </x:c>
      <x:c r="E8" s="16" t="str">
        <x:v>vs target</x:v>
      </x:c>
      <x:c r="F8" s="147" t="str">
        <x:f>IF('_Chart Helpers'!$D$3="","",IFERROR('_Chart Helpers'!$B$3/'_Chart Helpers'!$D$3-1,""))</x:f>
      </x:c>
      <x:c r="G8" s="14" t="str">
        <x:v>vs prior</x:v>
      </x:c>
      <x:c r="H8" s="148" t="str">
        <x:f>IFERROR('_Chart Helpers'!$B$3/'_Chart Helpers'!$C$3-1,"")</x:f>
      </x:c>
      <x:c r="I8" s="16" t="str">
        <x:v>vs target</x:v>
      </x:c>
      <x:c r="J8" s="147" t="str">
        <x:f>IF('_Chart Helpers'!$D$4="","",IFERROR('_Chart Helpers'!$B$4/'_Chart Helpers'!$D$4-1,""))</x:f>
      </x:c>
      <x:c r="K8" s="14" t="str">
        <x:v>vs prior</x:v>
      </x:c>
      <x:c r="L8" s="148" t="str">
        <x:f>IFERROR('_Chart Helpers'!$B$4/'_Chart Helpers'!$C$4-1,"")</x:f>
      </x:c>
      <x:c r="M8" s="16" t="str">
        <x:v>vs target</x:v>
      </x:c>
      <x:c r="N8" s="147" t="str">
        <x:f>IF('_Chart Helpers'!$D$5="","",IFERROR('_Chart Helpers'!$B$5/'_Chart Helpers'!$D$5-1,""))</x:f>
      </x:c>
      <x:c r="O8" s="14" t="str">
        <x:v>vs prior</x:v>
      </x:c>
      <x:c r="P8" s="148" t="str">
        <x:f>IFERROR('_Chart Helpers'!$B$5/'_Chart Helpers'!$C$5-1,"")</x:f>
      </x:c>
      <x:c r="Q8" s="16" t="str">
        <x:v>vs target</x:v>
      </x:c>
    </x:row>
    <x:row r="9"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 ht="20" customHeight="1">
      <x:c r="B10" s="47" t="str">
        <x:v>AVAILABLE DEPOSITS</x:v>
      </x:c>
      <x:c r="C10" s="48"/>
      <x:c r="D10" s="48"/>
      <x:c r="E10" s="49"/>
      <x:c r="F10" s="47" t="str">
        <x:v>DEPOSIT CONVERSION</x:v>
      </x:c>
      <x:c r="G10" s="48"/>
      <x:c r="H10" s="48"/>
      <x:c r="I10" s="49"/>
      <x:c r="J10" s="47" t="str">
        <x:v>CASH VARIANCE</x:v>
      </x:c>
      <x:c r="K10" s="48"/>
      <x:c r="L10" s="48"/>
      <x:c r="M10" s="49"/>
      <x:c r="N10" s="47" t="str">
        <x:v>NET CASH MARGIN</x:v>
      </x:c>
      <x:c r="O10" s="48"/>
      <x:c r="P10" s="48"/>
      <x:c r="Q10" s="49"/>
    </x:row>
    <x:row r="11" ht="27" customHeight="1">
      <x:c r="B11" s="145" t="str">
        <x:f>'_Chart Helpers'!$B$6</x:f>
      </x:c>
      <x:c r="C11" s="79"/>
      <x:c r="D11" s="79"/>
      <x:c r="E11" s="80"/>
      <x:c r="F11" s="146" t="str">
        <x:f>'_Chart Helpers'!$B$7</x:f>
      </x:c>
      <x:c r="G11" s="82"/>
      <x:c r="H11" s="82"/>
      <x:c r="I11" s="83"/>
      <x:c r="J11" s="145" t="str">
        <x:f>'_Chart Helpers'!$B$8</x:f>
      </x:c>
      <x:c r="K11" s="54"/>
      <x:c r="L11" s="54"/>
      <x:c r="M11" s="55"/>
      <x:c r="N11" s="146" t="n">
        <x:f>'_Chart Helpers'!$B$9</x:f>
        <x:v>0</x:v>
      </x:c>
      <x:c r="O11" s="76"/>
      <x:c r="P11" s="76"/>
      <x:c r="Q11" s="77"/>
    </x:row>
    <x:row r="12" ht="27" customHeight="1">
      <x:c r="B12" s="78"/>
      <x:c r="C12" s="79"/>
      <x:c r="D12" s="79"/>
      <x:c r="E12" s="80"/>
      <x:c r="F12" s="81"/>
      <x:c r="G12" s="82"/>
      <x:c r="H12" s="82"/>
      <x:c r="I12" s="83"/>
      <x:c r="J12" s="53"/>
      <x:c r="K12" s="54"/>
      <x:c r="L12" s="54"/>
      <x:c r="M12" s="55"/>
      <x:c r="N12" s="75"/>
      <x:c r="O12" s="76"/>
      <x:c r="P12" s="76"/>
      <x:c r="Q12" s="77"/>
    </x:row>
    <x:row r="13" ht="20" customHeight="1">
      <x:c r="B13" s="147" t="str">
        <x:f>IF('_Chart Helpers'!$D$6="","",IFERROR('_Chart Helpers'!$B$6/'_Chart Helpers'!$D$6-1,""))</x:f>
      </x:c>
      <x:c r="C13" s="14" t="str">
        <x:v>vs prior</x:v>
      </x:c>
      <x:c r="D13" s="148" t="str">
        <x:f>IFERROR('_Chart Helpers'!$B$6/'_Chart Helpers'!$C$6-1,"")</x:f>
      </x:c>
      <x:c r="E13" s="16" t="str">
        <x:v>vs target</x:v>
      </x:c>
      <x:c r="F13" s="147" t="str">
        <x:f>IF('_Chart Helpers'!$D$7="","",IFERROR('_Chart Helpers'!$B$7/'_Chart Helpers'!$D$7-1,""))</x:f>
      </x:c>
      <x:c r="G13" s="14" t="str">
        <x:v>vs prior</x:v>
      </x:c>
      <x:c r="H13" s="148" t="str">
        <x:f>IFERROR('_Chart Helpers'!$B$7/'_Chart Helpers'!$C$7-1,"")</x:f>
      </x:c>
      <x:c r="I13" s="16" t="str">
        <x:v>vs target</x:v>
      </x:c>
      <x:c r="J13" s="147" t="str">
        <x:f>IF(OR('_Chart Helpers'!$D$8="",'_Chart Helpers'!$D$8=0),"",ABS('_Chart Helpers'!$B$8)/ABS('_Chart Helpers'!$D$8)-1)</x:f>
      </x:c>
      <x:c r="K13" s="14" t="str">
        <x:v>vs prior</x:v>
      </x:c>
      <x:c r="L13" s="148" t="str">
        <x:f>IF(OR('_Chart Helpers'!$C$8="",'_Chart Helpers'!$C$8=0),"",ABS('_Chart Helpers'!$B$8)/'_Chart Helpers'!$C$8-1)</x:f>
      </x:c>
      <x:c r="M13" s="16" t="str">
        <x:v>vs target</x:v>
      </x:c>
      <x:c r="N13" s="147" t="str">
        <x:f>IF('_Chart Helpers'!$D$9="","",IFERROR('_Chart Helpers'!$B$9/'_Chart Helpers'!$D$9-1,""))</x:f>
      </x:c>
      <x:c r="O13" s="14" t="str">
        <x:v>vs prior</x:v>
      </x:c>
      <x:c r="P13" s="148" t="str">
        <x:f>IFERROR('_Chart Helpers'!$B$9/'_Chart Helpers'!$C$9-1,"")</x:f>
      </x:c>
      <x:c r="Q13" s="16" t="str">
        <x:v>vs target</x:v>
      </x:c>
    </x:row>
    <x:row r="14"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</x:row>
    <x:row r="15" ht="22" customHeight="1">
      <x:c r="B15" s="56" t="str">
        <x:v>SYSTEM SALES — ACTUAL VS TARGET</x:v>
      </x:c>
      <x:c r="C15" s="56"/>
      <x:c r="D15" s="56"/>
      <x:c r="E15" s="56"/>
      <x:c r="F15" s="56"/>
      <x:c r="G15" s="56"/>
      <x:c r="H15" s="56"/>
      <x:c r="I15" s="56"/>
      <x:c r="J15" s="56" t="str">
        <x:v>OPERATING EXPENSES — ACTUAL VS BUDGET</x:v>
      </x:c>
      <x:c r="K15" s="56"/>
      <x:c r="L15" s="56"/>
      <x:c r="M15" s="56"/>
      <x:c r="N15" s="56"/>
      <x:c r="O15" s="56"/>
      <x:c r="P15" s="56"/>
      <x:c r="Q15" s="56"/>
    </x:row>
    <x:row r="16"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  <x:row r="20"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</x:row>
    <x:row r="21"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</x:row>
    <x:row r="22"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</x:row>
    <x:row r="23"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</x:row>
    <x:row r="24"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</x:row>
    <x:row r="25"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</x:row>
    <x:row r="26"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</x:row>
    <x:row r="27"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</x:row>
    <x:row r="28"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</x:row>
    <x:row r="29" ht="22" customHeight="1">
      <x:c r="B29" s="56" t="str">
        <x:v>SELECTED-PERIOD CASH FLOW BRIDGE</x:v>
      </x:c>
      <x:c r="C29" s="56"/>
      <x:c r="D29" s="56"/>
      <x:c r="E29" s="56"/>
      <x:c r="F29" s="56"/>
      <x:c r="G29" s="56"/>
      <x:c r="H29" s="56"/>
      <x:c r="I29" s="56"/>
      <x:c r="J29" s="56" t="str">
        <x:v>SELECTED-PERIOD SALES MIX BY CHANNEL</x:v>
      </x:c>
      <x:c r="K29" s="56"/>
      <x:c r="L29" s="56"/>
      <x:c r="M29" s="56"/>
      <x:c r="N29" s="56"/>
      <x:c r="O29" s="56"/>
      <x:c r="P29" s="56"/>
      <x:c r="Q29" s="56"/>
    </x:row>
    <x:row r="30"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</x:row>
    <x:row r="31"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</x:row>
    <x:row r="32"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</x:row>
    <x:row r="33"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</x:row>
    <x:row r="34"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</x:row>
    <x:row r="35"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</x:row>
    <x:row r="36"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</x:row>
    <x:row r="37"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</x:row>
    <x:row r="38"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</x:row>
    <x:row r="39"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</x:row>
    <x:row r="40"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</x:row>
    <x:row r="41"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</x:row>
    <x:row r="42"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</x:row>
    <x:row r="43" ht="22" customHeight="1">
      <x:c r="B43" s="56" t="str">
        <x:v>SELECTED-PERIOD FINANCIAL VARIANCE</x:v>
      </x:c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  <x:c r="M43" s="56"/>
      <x:c r="N43" s="56"/>
      <x:c r="O43" s="56"/>
      <x:c r="P43" s="56"/>
      <x:c r="Q43" s="56"/>
    </x:row>
    <x:row r="44" ht="26" customHeight="1">
      <x:c r="B44" s="17" t="str">
        <x:v>Metric</x:v>
      </x:c>
      <x:c r="C44" s="17" t="str">
        <x:v>Goal</x:v>
      </x:c>
      <x:c r="D44" s="17" t="str">
        <x:v>Actual</x:v>
      </x:c>
      <x:c r="E44" s="17" t="str">
        <x:v>Target / Tolerance</x:v>
      </x:c>
      <x:c r="F44" s="17" t="str">
        <x:v>Variance</x:v>
      </x:c>
      <x:c r="G44" s="17" t="str">
        <x:v>Variance %</x:v>
      </x:c>
      <x:c r="H44" s="17" t="str">
        <x:v>Status</x:v>
      </x:c>
      <x:c r="I44" s="12"/>
      <x:c r="J44" s="12"/>
      <x:c r="K44" s="12"/>
      <x:c r="L44" s="12"/>
      <x:c r="M44" s="12"/>
      <x:c r="N44" s="12"/>
      <x:c r="O44" s="12"/>
      <x:c r="P44" s="12"/>
      <x:c r="Q44" s="12"/>
    </x:row>
    <x:row r="45">
      <x:c r="B45" s="18" t="str">
        <x:f>'_Chart Helpers'!$A$2</x:f>
        <x:v>System Sales</x:v>
      </x:c>
      <x:c r="C45" s="19" t="str">
        <x:f>'_Chart Helpers'!$E$2</x:f>
        <x:v>Higher</x:v>
      </x:c>
      <x:c r="D45" s="149" t="str">
        <x:f>'_Chart Helpers'!$B$2</x:f>
      </x:c>
      <x:c r="E45" s="149" t="str">
        <x:f>'_Chart Helpers'!$C$2</x:f>
      </x:c>
      <x:c r="F45" s="149" t="str">
        <x:f t="shared" ref="F45:F52" si="0">IF(OR(D45="",E45=""),"",IF(C45="Within",ABS(D45)-E45,D45-E45))</x:f>
      </x:c>
      <x:c r="G45" s="150" t="str">
        <x:f t="shared" ref="G45:G52" si="1">IF(OR(D45="",E45=""),"",IF(C45="Within",IF(E45=0,"",ABS(D45)/E45-1),IFERROR(D45/E45-1,"")))</x:f>
      </x:c>
      <x:c r="H45" s="19" t="str">
        <x:f>'_Chart Helpers'!$F$2</x:f>
        <x:v>Needs Data</x:v>
      </x:c>
      <x:c r="I45" s="12"/>
      <x:c r="J45" s="57" t="str">
        <x:v>Status is direction-aware: sales, net cash, deposits and margins favor higher results; expenses favor lower results; cash variance must remain within tolerance.</x:v>
      </x:c>
      <x:c r="K45" s="58"/>
      <x:c r="L45" s="58"/>
      <x:c r="M45" s="58"/>
      <x:c r="N45" s="58"/>
      <x:c r="O45" s="58"/>
      <x:c r="P45" s="58"/>
      <x:c r="Q45" s="59"/>
    </x:row>
    <x:row r="46">
      <x:c r="B46" s="18" t="str">
        <x:f>'_Chart Helpers'!$A$3</x:f>
        <x:v>Operating Expenses</x:v>
      </x:c>
      <x:c r="C46" s="19" t="str">
        <x:f>'_Chart Helpers'!$E$3</x:f>
        <x:v>Lower</x:v>
      </x:c>
      <x:c r="D46" s="149" t="str">
        <x:f>'_Chart Helpers'!$B$3</x:f>
      </x:c>
      <x:c r="E46" s="149" t="str">
        <x:f>'_Chart Helpers'!$C$3</x:f>
      </x:c>
      <x:c r="F46" s="149" t="str">
        <x:f t="shared" si="0">IF(OR(D46="",E46=""),"",IF(C46="Within",ABS(D46)-E46,D46-E46))</x:f>
      </x:c>
      <x:c r="G46" s="150" t="str">
        <x:f t="shared" si="1">IF(OR(D46="",E46=""),"",IF(C46="Within",IF(E46=0,"",ABS(D46)/E46-1),IFERROR(D46/E46-1,"")))</x:f>
      </x:c>
      <x:c r="H46" s="19" t="str">
        <x:f>'_Chart Helpers'!$F$3</x:f>
        <x:v>Needs Data</x:v>
      </x:c>
      <x:c r="I46" s="12"/>
      <x:c r="J46" s="60"/>
      <x:c r="K46" s="61"/>
      <x:c r="L46" s="61"/>
      <x:c r="M46" s="61"/>
      <x:c r="N46" s="61"/>
      <x:c r="O46" s="61"/>
      <x:c r="P46" s="61"/>
      <x:c r="Q46" s="62"/>
    </x:row>
    <x:row r="47">
      <x:c r="B47" s="18" t="str">
        <x:f>'_Chart Helpers'!$A$4</x:f>
        <x:v>Net Operating Cash</x:v>
      </x:c>
      <x:c r="C47" s="19" t="str">
        <x:f>'_Chart Helpers'!$E$4</x:f>
        <x:v>Higher</x:v>
      </x:c>
      <x:c r="D47" s="149" t="str">
        <x:f>'_Chart Helpers'!$B$4</x:f>
      </x:c>
      <x:c r="E47" s="149" t="str">
        <x:f>'_Chart Helpers'!$C$4</x:f>
      </x:c>
      <x:c r="F47" s="149" t="str">
        <x:f t="shared" si="0">IF(OR(D47="",E47=""),"",IF(C47="Within",ABS(D47)-E47,D47-E47))</x:f>
      </x:c>
      <x:c r="G47" s="150" t="str">
        <x:f t="shared" si="1">IF(OR(D47="",E47=""),"",IF(C47="Within",IF(E47=0,"",ABS(D47)/E47-1),IFERROR(D47/E47-1,"")))</x:f>
      </x:c>
      <x:c r="H47" s="19" t="str">
        <x:f>'_Chart Helpers'!$F$4</x:f>
        <x:v>Needs Data</x:v>
      </x:c>
      <x:c r="I47" s="12"/>
      <x:c r="J47" s="60"/>
      <x:c r="K47" s="61"/>
      <x:c r="L47" s="61"/>
      <x:c r="M47" s="61"/>
      <x:c r="N47" s="61"/>
      <x:c r="O47" s="61"/>
      <x:c r="P47" s="61"/>
      <x:c r="Q47" s="62"/>
    </x:row>
    <x:row r="48">
      <x:c r="B48" s="18" t="str">
        <x:f>'_Chart Helpers'!$A$5</x:f>
        <x:v>Expense Rate</x:v>
      </x:c>
      <x:c r="C48" s="19" t="str">
        <x:f>'_Chart Helpers'!$E$5</x:f>
        <x:v>Lower</x:v>
      </x:c>
      <x:c r="D48" s="150" t="str">
        <x:f>'_Chart Helpers'!$B$5</x:f>
      </x:c>
      <x:c r="E48" s="150" t="str">
        <x:f>'_Chart Helpers'!$C$5</x:f>
      </x:c>
      <x:c r="F48" s="150" t="str">
        <x:f t="shared" si="0">IF(OR(D48="",E48=""),"",IF(C48="Within",ABS(D48)-E48,D48-E48))</x:f>
      </x:c>
      <x:c r="G48" s="150" t="str">
        <x:f t="shared" si="1">IF(OR(D48="",E48=""),"",IF(C48="Within",IF(E48=0,"",ABS(D48)/E48-1),IFERROR(D48/E48-1,"")))</x:f>
      </x:c>
      <x:c r="H48" s="19" t="str">
        <x:f>'_Chart Helpers'!$F$5</x:f>
        <x:v>Needs Data</x:v>
      </x:c>
      <x:c r="I48" s="12"/>
      <x:c r="J48" s="63"/>
      <x:c r="K48" s="64"/>
      <x:c r="L48" s="64"/>
      <x:c r="M48" s="64"/>
      <x:c r="N48" s="64"/>
      <x:c r="O48" s="64"/>
      <x:c r="P48" s="64"/>
      <x:c r="Q48" s="65"/>
    </x:row>
    <x:row r="49">
      <x:c r="B49" s="18" t="str">
        <x:f>'_Chart Helpers'!$A$6</x:f>
        <x:v>Available Deposits</x:v>
      </x:c>
      <x:c r="C49" s="19" t="str">
        <x:f>'_Chart Helpers'!$E$6</x:f>
        <x:v>Higher</x:v>
      </x:c>
      <x:c r="D49" s="149" t="str">
        <x:f>'_Chart Helpers'!$B$6</x:f>
      </x:c>
      <x:c r="E49" s="149" t="str">
        <x:f>'_Chart Helpers'!$C$6</x:f>
      </x:c>
      <x:c r="F49" s="149" t="str">
        <x:f t="shared" si="0">IF(OR(D49="",E49=""),"",IF(C49="Within",ABS(D49)-E49,D49-E49))</x:f>
      </x:c>
      <x:c r="G49" s="150" t="str">
        <x:f t="shared" si="1">IF(OR(D49="",E49=""),"",IF(C49="Within",IF(E49=0,"",ABS(D49)/E49-1),IFERROR(D49/E49-1,"")))</x:f>
      </x:c>
      <x:c r="H49" s="19" t="str">
        <x:f>'_Chart Helpers'!$F$6</x:f>
        <x:v>Needs Data</x:v>
      </x:c>
      <x:c r="I49" s="12"/>
      <x:c r="J49" s="12"/>
      <x:c r="K49" s="12"/>
      <x:c r="L49" s="12"/>
      <x:c r="M49" s="12"/>
      <x:c r="N49" s="12"/>
      <x:c r="O49" s="12"/>
      <x:c r="P49" s="12"/>
      <x:c r="Q49" s="12"/>
    </x:row>
    <x:row r="50">
      <x:c r="B50" s="18" t="str">
        <x:f>'_Chart Helpers'!$A$7</x:f>
        <x:v>Deposit Conversion</x:v>
      </x:c>
      <x:c r="C50" s="19" t="str">
        <x:f>'_Chart Helpers'!$E$7</x:f>
        <x:v>Higher</x:v>
      </x:c>
      <x:c r="D50" s="150" t="str">
        <x:f>'_Chart Helpers'!$B$7</x:f>
      </x:c>
      <x:c r="E50" s="150" t="str">
        <x:f>'_Chart Helpers'!$C$7</x:f>
      </x:c>
      <x:c r="F50" s="150" t="str">
        <x:f t="shared" si="0">IF(OR(D50="",E50=""),"",IF(C50="Within",ABS(D50)-E50,D50-E50))</x:f>
      </x:c>
      <x:c r="G50" s="150" t="str">
        <x:f t="shared" si="1">IF(OR(D50="",E50=""),"",IF(C50="Within",IF(E50=0,"",ABS(D50)/E50-1),IFERROR(D50/E50-1,"")))</x:f>
      </x:c>
      <x:c r="H50" s="19" t="str">
        <x:f>'_Chart Helpers'!$F$7</x:f>
        <x:v>Needs Data</x:v>
      </x:c>
      <x:c r="I50" s="12"/>
      <x:c r="J50" s="66" t="str">
        <x:v>No company actuals are embedded. The dashboard remains in Needs Data status until authenticated monthly exports are pasted into yellow cells.</x:v>
      </x:c>
      <x:c r="K50" s="67"/>
      <x:c r="L50" s="67"/>
      <x:c r="M50" s="67"/>
      <x:c r="N50" s="67"/>
      <x:c r="O50" s="67"/>
      <x:c r="P50" s="67"/>
      <x:c r="Q50" s="68"/>
    </x:row>
    <x:row r="51">
      <x:c r="B51" s="18" t="str">
        <x:f>'_Chart Helpers'!$A$8</x:f>
        <x:v>Cash Variance</x:v>
      </x:c>
      <x:c r="C51" s="19" t="str">
        <x:f>'_Chart Helpers'!$E$8</x:f>
        <x:v>Within</x:v>
      </x:c>
      <x:c r="D51" s="149" t="str">
        <x:f>'_Chart Helpers'!$B$8</x:f>
      </x:c>
      <x:c r="E51" s="149" t="str">
        <x:f>'_Chart Helpers'!$C$8</x:f>
      </x:c>
      <x:c r="F51" s="149" t="str">
        <x:f t="shared" si="0">IF(OR(D51="",E51=""),"",IF(C51="Within",ABS(D51)-E51,D51-E51))</x:f>
      </x:c>
      <x:c r="G51" s="150" t="str">
        <x:f t="shared" si="1">IF(OR(D51="",E51=""),"",IF(C51="Within",IF(E51=0,"",ABS(D51)/E51-1),IFERROR(D51/E51-1,"")))</x:f>
      </x:c>
      <x:c r="H51" s="19" t="str">
        <x:f>'_Chart Helpers'!$F$8</x:f>
        <x:v>Needs Data</x:v>
      </x:c>
      <x:c r="I51" s="12"/>
      <x:c r="J51" s="69"/>
      <x:c r="K51" s="70"/>
      <x:c r="L51" s="70"/>
      <x:c r="M51" s="70"/>
      <x:c r="N51" s="70"/>
      <x:c r="O51" s="70"/>
      <x:c r="P51" s="70"/>
      <x:c r="Q51" s="71"/>
    </x:row>
    <x:row r="52">
      <x:c r="B52" s="18" t="str">
        <x:f>'_Chart Helpers'!$A$9</x:f>
        <x:v>Net Cash Margin</x:v>
      </x:c>
      <x:c r="C52" s="19" t="str">
        <x:f>'_Chart Helpers'!$E$9</x:f>
        <x:v>Higher</x:v>
      </x:c>
      <x:c r="D52" s="150" t="n">
        <x:f>'_Chart Helpers'!$B$9</x:f>
        <x:v>0</x:v>
      </x:c>
      <x:c r="E52" s="150" t="n">
        <x:f>'_Chart Helpers'!$C$9</x:f>
        <x:v>0</x:v>
      </x:c>
      <x:c r="F52" s="150" t="str">
        <x:f t="shared" si="0">IF(OR(D52="",E52=""),"",IF(C52="Within",ABS(D52)-E52,D52-E52))</x:f>
      </x:c>
      <x:c r="G52" s="150" t="str">
        <x:f t="shared" si="1">IF(OR(D52="",E52=""),"",IF(C52="Within",IF(E52=0,"",ABS(D52)/E52-1),IFERROR(D52/E52-1,"")))</x:f>
      </x:c>
      <x:c r="H52" s="19" t="str">
        <x:f>'_Chart Helpers'!$F$9</x:f>
        <x:v>Needs Data</x:v>
      </x:c>
      <x:c r="I52" s="12"/>
      <x:c r="J52" s="72"/>
      <x:c r="K52" s="73"/>
      <x:c r="L52" s="73"/>
      <x:c r="M52" s="73"/>
      <x:c r="N52" s="73"/>
      <x:c r="O52" s="73"/>
      <x:c r="P52" s="73"/>
      <x:c r="Q52" s="74"/>
    </x:row>
    <x:row r="53"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</x:row>
  </x:sheetData>
  <x:mergeCells>
    <x:mergeCell ref="J11:M12"/>
    <x:mergeCell ref="N5:Q5"/>
    <x:mergeCell ref="N6:Q7"/>
    <x:mergeCell ref="B43:Q43"/>
    <x:mergeCell ref="J45:Q48"/>
    <x:mergeCell ref="J50:Q52"/>
    <x:mergeCell ref="N10:Q10"/>
    <x:mergeCell ref="N11:Q12"/>
    <x:mergeCell ref="B15:I15"/>
    <x:mergeCell ref="J15:Q15"/>
    <x:mergeCell ref="B29:I29"/>
    <x:mergeCell ref="J29:Q29"/>
    <x:mergeCell ref="B10:E10"/>
    <x:mergeCell ref="B11:E12"/>
    <x:mergeCell ref="F10:I10"/>
    <x:mergeCell ref="F11:I12"/>
    <x:mergeCell ref="J10:M10"/>
    <x:mergeCell ref="B5:E5"/>
    <x:mergeCell ref="B6:E7"/>
    <x:mergeCell ref="F5:I5"/>
    <x:mergeCell ref="F6:I7"/>
    <x:mergeCell ref="J5:M5"/>
    <x:mergeCell ref="J6:M7"/>
    <x:mergeCell ref="J2:M2"/>
    <x:mergeCell ref="J3:M3"/>
    <x:mergeCell ref="N2:Q2"/>
    <x:mergeCell ref="N3:Q3"/>
    <x:mergeCell ref="B4:Q4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pageMargins left="0.7" right="0.7" top="0.75" bottom="0.75" header="0.3" footer="0.3"/>
  <x:drawing xmlns:r="http://schemas.openxmlformats.org/officeDocument/2006/relationships" r:id="R08bd852add4e449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4" width="15" style="27" customWidth="1"/>
    <x:col min="5" max="5" width="20" style="27" hidden="0" customWidth="1"/>
    <x:col min="6" max="6" width="15" style="27" hidden="0" customWidth="1"/>
    <x:col min="7" max="8" width="15" style="27" customWidth="1"/>
    <x:col min="9" max="9" width="16" style="27" hidden="0" customWidth="1"/>
    <x:col min="10" max="10" width="18" style="27" hidden="0" customWidth="1"/>
    <x:col min="11" max="11" width="18" style="27" hidden="0" customWidth="1"/>
    <x:col min="12" max="15" width="16" style="27" customWidth="1"/>
    <x:col min="16" max="16" width="22" style="27" hidden="0" customWidth="1"/>
    <x:col min="17" max="16384" width="8.83203125" style="27" customWidth="0"/>
    <x:col min="2" max="2" width="14" hidden="0" customWidth="1"/>
    <x:col min="3" max="3" width="18" hidden="0" customWidth="1"/>
    <x:col min="4" max="4" width="18" hidden="0" customWidth="1"/>
    <x:col min="7" max="7" width="18" hidden="0" customWidth="1"/>
    <x:col min="8" max="8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21" hidden="0" customWidth="1"/>
    <x:col min="17" max="17" width="18" hidden="0" customWidth="1"/>
    <x:col min="18" max="18" width="18" hidden="0" customWidth="1"/>
    <x:col min="19" max="19" width="18" hidden="0" customWidth="1"/>
    <x:col min="20" max="20" width="19" hidden="0" customWidth="1"/>
  </x:cols>
  <x:sheetData>
    <x:row r="2" ht="26" customHeight="1">
      <x:c r="B2" s="36" t="str">
        <x:v>Financial Performance Dashboard</x:v>
      </x:c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</x:row>
    <x:row r="3" ht="26" customHeight="1">
      <x:c r="B3" s="38" t="str">
        <x:v>Monthly Financial Inputs</x:v>
      </x:c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</x:row>
    <x:row r="4"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 ht="22" customHeight="1">
      <x:c r="B5" s="87" t="str">
        <x:v>HOW TO USE</x:v>
      </x:c>
      <x:c r="C5" s="87" t="s">
        <x:v>2</x:v>
      </x:c>
      <x:c r="D5" s="87" t="s">
        <x:v>2</x:v>
      </x:c>
      <x:c r="E5" s="87" t="s">
        <x:v>2</x:v>
      </x:c>
      <x:c r="F5" s="87" t="s">
        <x:v>2</x:v>
      </x:c>
      <x:c r="G5" s="87" t="s">
        <x:v>2</x:v>
      </x:c>
      <x:c r="H5" s="87" t="s">
        <x:v>2</x:v>
      </x:c>
      <x:c r="I5" s="87" t="s">
        <x:v>2</x:v>
      </x:c>
      <x:c r="J5" s="87" t="s">
        <x:v>2</x:v>
      </x:c>
      <x:c r="K5" s="87" t="s">
        <x:v>2</x:v>
      </x:c>
      <x:c r="L5" s="87" t="s">
        <x:v>2</x:v>
      </x:c>
      <x:c r="M5" s="87" t="s">
        <x:v>2</x:v>
      </x:c>
      <x:c r="N5" s="87" t="s">
        <x:v>2</x:v>
      </x:c>
      <x:c r="O5" s="87" t="s">
        <x:v>2</x:v>
      </x:c>
      <x:c r="P5" s="87" t="s">
        <x:v>2</x:v>
      </x:c>
    </x:row>
    <x:row r="6" ht="22" customHeight="1">
      <x:c r="B6" s="88" t="str">
        <x:v>Paste monthly GTQ totals from the authenticated Firebase cierres and pagos exports into yellow cells. Dates must remain real month-start dates.</x:v>
      </x:c>
      <x:c r="C6" s="88" t="s">
        <x:v>3</x:v>
      </x:c>
      <x:c r="D6" s="88" t="s">
        <x:v>3</x:v>
      </x:c>
      <x:c r="E6" s="88" t="s">
        <x:v>3</x:v>
      </x:c>
      <x:c r="F6" s="88" t="s">
        <x:v>3</x:v>
      </x:c>
      <x:c r="G6" s="88" t="s">
        <x:v>3</x:v>
      </x:c>
      <x:c r="H6" s="88" t="s">
        <x:v>3</x:v>
      </x:c>
      <x:c r="I6" s="88" t="s">
        <x:v>3</x:v>
      </x:c>
      <x:c r="J6" s="88" t="s">
        <x:v>3</x:v>
      </x:c>
      <x:c r="K6" s="88" t="s">
        <x:v>3</x:v>
      </x:c>
      <x:c r="L6" s="88" t="s">
        <x:v>3</x:v>
      </x:c>
      <x:c r="M6" s="88" t="s">
        <x:v>3</x:v>
      </x:c>
      <x:c r="N6" s="88" t="s">
        <x:v>3</x:v>
      </x:c>
      <x:c r="O6" s="88" t="s">
        <x:v>3</x:v>
      </x:c>
      <x:c r="P6" s="88" t="s">
        <x:v>3</x:v>
      </x:c>
    </x:row>
    <x:row r="7" ht="22" customHeight="1">
      <x:c r="B7" s="88" t="str">
        <x:v>Blue text on yellow fill is editable. White calculation columns and all dashboard outputs are formula-driven.</x:v>
      </x:c>
      <x:c r="C7" s="88" t="s">
        <x:v>4</x:v>
      </x:c>
      <x:c r="D7" s="88" t="s">
        <x:v>4</x:v>
      </x:c>
      <x:c r="E7" s="88" t="s">
        <x:v>4</x:v>
      </x:c>
      <x:c r="F7" s="88" t="s">
        <x:v>4</x:v>
      </x:c>
      <x:c r="G7" s="88" t="s">
        <x:v>4</x:v>
      </x:c>
      <x:c r="H7" s="88" t="s">
        <x:v>4</x:v>
      </x:c>
      <x:c r="I7" s="88" t="s">
        <x:v>4</x:v>
      </x:c>
      <x:c r="J7" s="88" t="s">
        <x:v>4</x:v>
      </x:c>
      <x:c r="K7" s="88" t="s">
        <x:v>4</x:v>
      </x:c>
      <x:c r="L7" s="88" t="s">
        <x:v>4</x:v>
      </x:c>
      <x:c r="M7" s="88" t="s">
        <x:v>4</x:v>
      </x:c>
      <x:c r="N7" s="88" t="s">
        <x:v>4</x:v>
      </x:c>
      <x:c r="O7" s="88" t="s">
        <x:v>4</x:v>
      </x:c>
      <x:c r="P7" s="88" t="s">
        <x:v>4</x:v>
      </x:c>
    </x:row>
    <x:row r="8"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B9" s="1" t="str">
        <x:v>Selected Period</x:v>
      </x:c>
      <x:c r="C9" s="92" t="n">
        <x:v>46174</x:v>
      </x:c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 ht="26">
      <x:c r="B10" s="1" t="str">
        <x:v>Data Current Through</x:v>
      </x:c>
      <x:c r="C10" s="90" t="str">
        <x:f>IF(COUNT($C$16:$C$27)=0,"",MAX($B$16:$B$27))</x:f>
      </x:c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B11" s="1" t="str">
        <x:v>Data Status</x:v>
      </x:c>
      <x:c r="C11" s="91" t="str">
        <x:f>IF(COUNT($C$16:$C$27)=0,"No actual financial data loaded — authenticated export required",COUNT($C$16:$C$27)&amp;" of 12 months loaded")</x:f>
        <x:v>No actual financial data loaded — authenticated export required</x:v>
      </x:c>
      <x:c r="D11" s="91"/>
      <x:c r="E11" s="91"/>
      <x:c r="F11" s="91"/>
      <x:c r="G11" s="91"/>
      <x:c r="H11" s="91"/>
      <x:c r="I11" s="91"/>
      <x:c r="J11" s="91"/>
      <x:c r="K11" s="91"/>
      <x:c r="L11" s="91"/>
      <x:c r="M11" s="91"/>
      <x:c r="N11" s="91"/>
      <x:c r="O11" s="91"/>
      <x:c r="P11" s="91"/>
    </x:row>
    <x:row r="12"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 ht="22" customHeight="1">
      <x:c r="B13" s="93" t="str">
        <x:v>MONTHLY FINANCIAL ACTUALS &amp; TARGETS — EDIT YELLOW CELLS</x:v>
      </x:c>
      <x:c r="C13" s="93"/>
      <x:c r="D13" s="93"/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  <x:c r="O13" s="93"/>
      <x:c r="P13" s="93"/>
      <x:c r="Q13" s="96"/>
      <x:c r="R13" s="96"/>
      <x:c r="S13" s="96"/>
      <x:c r="T13" s="96"/>
    </x:row>
    <x:row r="14"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 ht="36" customHeight="1">
      <x:c r="B15" s="97" t="str">
        <x:v>Period</x:v>
      </x:c>
      <x:c r="C15" s="97" t="str">
        <x:v>System Sales</x:v>
      </x:c>
      <x:c r="D15" s="97" t="str">
        <x:v>Operating Expenses</x:v>
      </x:c>
      <x:c r="E15" s="97" t="str">
        <x:v>Net Operating Cash</x:v>
      </x:c>
      <x:c r="F15" s="97" t="str">
        <x:v>Expense Rate</x:v>
      </x:c>
      <x:c r="G15" s="97" t="str">
        <x:v>Available Deposits</x:v>
      </x:c>
      <x:c r="H15" s="97" t="str">
        <x:v>Deposit Conversion</x:v>
      </x:c>
      <x:c r="I15" s="97" t="str">
        <x:v>Cash Variance</x:v>
      </x:c>
      <x:c r="J15" s="97" t="str">
        <x:v>Sales Target</x:v>
      </x:c>
      <x:c r="K15" s="97" t="str">
        <x:v>Expense Budget</x:v>
      </x:c>
      <x:c r="L15" s="97" t="str">
        <x:v>Net Cash Target</x:v>
      </x:c>
      <x:c r="M15" s="97" t="str">
        <x:v>Expense Rate Target</x:v>
      </x:c>
      <x:c r="N15" s="97" t="str">
        <x:v>Deposit Target</x:v>
      </x:c>
      <x:c r="O15" s="97" t="str">
        <x:v>Deposit Conversion Target</x:v>
      </x:c>
      <x:c r="P15" s="97" t="str">
        <x:v>Cash Variance Tolerance</x:v>
      </x:c>
      <x:c r="Q15" s="103" t="str">
        <x:v>Cash Sales</x:v>
      </x:c>
      <x:c r="R15" s="103" t="str">
        <x:v>Card Sales</x:v>
      </x:c>
      <x:c r="S15" s="103" t="str">
        <x:v>Delivery Sales</x:v>
      </x:c>
      <x:c r="T15" s="103" t="str">
        <x:v>Payment Mix Check</x:v>
      </x:c>
    </x:row>
    <x:row r="16" ht="20" customHeight="1">
      <x:c r="B16" s="122" t="n">
        <x:v>46023</x:v>
      </x:c>
      <x:c r="C16" s="123"/>
      <x:c r="D16" s="123"/>
      <x:c r="E16" s="124" t="str">
        <x:f>IF(OR(C16="",D16=""),"",C16-D16)</x:f>
      </x:c>
      <x:c r="F16" s="127" t="str">
        <x:f>IFERROR(D16/C16,"")</x:f>
      </x:c>
      <x:c r="G16" s="123"/>
      <x:c r="H16" s="127" t="str">
        <x:f>IFERROR(G16/C16,"")</x:f>
      </x:c>
      <x:c r="I16" s="123"/>
      <x:c r="J16" s="123"/>
      <x:c r="K16" s="123"/>
      <x:c r="L16" s="124" t="str">
        <x:f>IF(OR(J16="",K16=""),"",J16-K16)</x:f>
      </x:c>
      <x:c r="M16" s="127" t="str">
        <x:f>IFERROR(K16/J16,"")</x:f>
      </x:c>
      <x:c r="N16" s="123"/>
      <x:c r="O16" s="127" t="str">
        <x:f>IFERROR(N16/J16,"")</x:f>
      </x:c>
      <x:c r="P16" s="123"/>
      <x:c r="Q16" s="128"/>
      <x:c r="R16" s="128"/>
      <x:c r="S16" s="128"/>
      <x:c r="T16" s="129" t="str">
        <x:f>IF(COUNT(Q16:S16)=0,"",SUM(Q16:S16)-C16)</x:f>
      </x:c>
    </x:row>
    <x:row r="17" ht="20" customHeight="1">
      <x:c r="B17" s="122" t="n">
        <x:v>46054</x:v>
      </x:c>
      <x:c r="C17" s="123"/>
      <x:c r="D17" s="123"/>
      <x:c r="E17" s="124" t="str">
        <x:f>IF(OR(C17="",D17=""),"",C17-D17)</x:f>
      </x:c>
      <x:c r="F17" s="127" t="str">
        <x:f>IFERROR(D17/C17,"")</x:f>
      </x:c>
      <x:c r="G17" s="123"/>
      <x:c r="H17" s="127" t="str">
        <x:f>IFERROR(G17/C17,"")</x:f>
      </x:c>
      <x:c r="I17" s="123"/>
      <x:c r="J17" s="123"/>
      <x:c r="K17" s="123"/>
      <x:c r="L17" s="124" t="str">
        <x:f>IF(OR(J17="",K17=""),"",J17-K17)</x:f>
      </x:c>
      <x:c r="M17" s="127" t="str">
        <x:f>IFERROR(K17/J17,"")</x:f>
      </x:c>
      <x:c r="N17" s="123"/>
      <x:c r="O17" s="127" t="str">
        <x:f>IFERROR(N17/J17,"")</x:f>
      </x:c>
      <x:c r="P17" s="123"/>
      <x:c r="Q17" s="128"/>
      <x:c r="R17" s="128"/>
      <x:c r="S17" s="128"/>
      <x:c r="T17" s="129" t="str">
        <x:f>IF(COUNT(Q17:S17)=0,"",SUM(Q17:S17)-C17)</x:f>
      </x:c>
    </x:row>
    <x:row r="18" ht="20" customHeight="1">
      <x:c r="B18" s="122" t="n">
        <x:v>46082</x:v>
      </x:c>
      <x:c r="C18" s="123"/>
      <x:c r="D18" s="123"/>
      <x:c r="E18" s="124" t="str">
        <x:f>IF(OR(C18="",D18=""),"",C18-D18)</x:f>
      </x:c>
      <x:c r="F18" s="127" t="str">
        <x:f>IFERROR(D18/C18,"")</x:f>
      </x:c>
      <x:c r="G18" s="123"/>
      <x:c r="H18" s="127" t="str">
        <x:f>IFERROR(G18/C18,"")</x:f>
      </x:c>
      <x:c r="I18" s="123"/>
      <x:c r="J18" s="123"/>
      <x:c r="K18" s="123"/>
      <x:c r="L18" s="124" t="str">
        <x:f>IF(OR(J18="",K18=""),"",J18-K18)</x:f>
      </x:c>
      <x:c r="M18" s="127" t="str">
        <x:f>IFERROR(K18/J18,"")</x:f>
      </x:c>
      <x:c r="N18" s="123"/>
      <x:c r="O18" s="127" t="str">
        <x:f>IFERROR(N18/J18,"")</x:f>
      </x:c>
      <x:c r="P18" s="123"/>
      <x:c r="Q18" s="128"/>
      <x:c r="R18" s="128"/>
      <x:c r="S18" s="128"/>
      <x:c r="T18" s="129" t="str">
        <x:f>IF(COUNT(Q18:S18)=0,"",SUM(Q18:S18)-C18)</x:f>
      </x:c>
    </x:row>
    <x:row r="19" ht="20" customHeight="1">
      <x:c r="B19" s="122" t="n">
        <x:v>46113</x:v>
      </x:c>
      <x:c r="C19" s="123"/>
      <x:c r="D19" s="123"/>
      <x:c r="E19" s="124" t="str">
        <x:f>IF(OR(C19="",D19=""),"",C19-D19)</x:f>
      </x:c>
      <x:c r="F19" s="127" t="str">
        <x:f>IFERROR(D19/C19,"")</x:f>
      </x:c>
      <x:c r="G19" s="123"/>
      <x:c r="H19" s="127" t="str">
        <x:f>IFERROR(G19/C19,"")</x:f>
      </x:c>
      <x:c r="I19" s="123"/>
      <x:c r="J19" s="123"/>
      <x:c r="K19" s="123"/>
      <x:c r="L19" s="124" t="str">
        <x:f>IF(OR(J19="",K19=""),"",J19-K19)</x:f>
      </x:c>
      <x:c r="M19" s="127" t="str">
        <x:f>IFERROR(K19/J19,"")</x:f>
      </x:c>
      <x:c r="N19" s="123"/>
      <x:c r="O19" s="127" t="str">
        <x:f>IFERROR(N19/J19,"")</x:f>
      </x:c>
      <x:c r="P19" s="123"/>
      <x:c r="Q19" s="128"/>
      <x:c r="R19" s="128"/>
      <x:c r="S19" s="128"/>
      <x:c r="T19" s="129" t="str">
        <x:f>IF(COUNT(Q19:S19)=0,"",SUM(Q19:S19)-C19)</x:f>
      </x:c>
    </x:row>
    <x:row r="20" ht="20" customHeight="1">
      <x:c r="B20" s="122" t="n">
        <x:v>46143</x:v>
      </x:c>
      <x:c r="C20" s="123"/>
      <x:c r="D20" s="123"/>
      <x:c r="E20" s="124" t="str">
        <x:f>IF(OR(C20="",D20=""),"",C20-D20)</x:f>
      </x:c>
      <x:c r="F20" s="127" t="str">
        <x:f>IFERROR(D20/C20,"")</x:f>
      </x:c>
      <x:c r="G20" s="123"/>
      <x:c r="H20" s="127" t="str">
        <x:f>IFERROR(G20/C20,"")</x:f>
      </x:c>
      <x:c r="I20" s="123"/>
      <x:c r="J20" s="123"/>
      <x:c r="K20" s="123"/>
      <x:c r="L20" s="124" t="str">
        <x:f>IF(OR(J20="",K20=""),"",J20-K20)</x:f>
      </x:c>
      <x:c r="M20" s="127" t="str">
        <x:f>IFERROR(K20/J20,"")</x:f>
      </x:c>
      <x:c r="N20" s="123"/>
      <x:c r="O20" s="127" t="str">
        <x:f>IFERROR(N20/J20,"")</x:f>
      </x:c>
      <x:c r="P20" s="123"/>
      <x:c r="Q20" s="128"/>
      <x:c r="R20" s="128"/>
      <x:c r="S20" s="128"/>
      <x:c r="T20" s="129" t="str">
        <x:f>IF(COUNT(Q20:S20)=0,"",SUM(Q20:S20)-C20)</x:f>
      </x:c>
    </x:row>
    <x:row r="21" ht="20" customHeight="1">
      <x:c r="B21" s="122" t="n">
        <x:v>46174</x:v>
      </x:c>
      <x:c r="C21" s="123"/>
      <x:c r="D21" s="123"/>
      <x:c r="E21" s="124" t="str">
        <x:f>IF(OR(C21="",D21=""),"",C21-D21)</x:f>
      </x:c>
      <x:c r="F21" s="127" t="str">
        <x:f>IFERROR(D21/C21,"")</x:f>
      </x:c>
      <x:c r="G21" s="123"/>
      <x:c r="H21" s="127" t="str">
        <x:f>IFERROR(G21/C21,"")</x:f>
      </x:c>
      <x:c r="I21" s="123"/>
      <x:c r="J21" s="123"/>
      <x:c r="K21" s="123"/>
      <x:c r="L21" s="124" t="str">
        <x:f>IF(OR(J21="",K21=""),"",J21-K21)</x:f>
      </x:c>
      <x:c r="M21" s="127" t="str">
        <x:f>IFERROR(K21/J21,"")</x:f>
      </x:c>
      <x:c r="N21" s="123"/>
      <x:c r="O21" s="127" t="str">
        <x:f>IFERROR(N21/J21,"")</x:f>
      </x:c>
      <x:c r="P21" s="123"/>
      <x:c r="Q21" s="128"/>
      <x:c r="R21" s="128"/>
      <x:c r="S21" s="128"/>
      <x:c r="T21" s="129" t="str">
        <x:f>IF(COUNT(Q21:S21)=0,"",SUM(Q21:S21)-C21)</x:f>
      </x:c>
    </x:row>
    <x:row r="22" ht="20" customHeight="1">
      <x:c r="B22" s="122" t="n">
        <x:v>46204</x:v>
      </x:c>
      <x:c r="C22" s="123"/>
      <x:c r="D22" s="123"/>
      <x:c r="E22" s="124" t="str">
        <x:f>IF(OR(C22="",D22=""),"",C22-D22)</x:f>
      </x:c>
      <x:c r="F22" s="127" t="str">
        <x:f>IFERROR(D22/C22,"")</x:f>
      </x:c>
      <x:c r="G22" s="123"/>
      <x:c r="H22" s="127" t="str">
        <x:f>IFERROR(G22/C22,"")</x:f>
      </x:c>
      <x:c r="I22" s="123"/>
      <x:c r="J22" s="123"/>
      <x:c r="K22" s="123"/>
      <x:c r="L22" s="124" t="str">
        <x:f>IF(OR(J22="",K22=""),"",J22-K22)</x:f>
      </x:c>
      <x:c r="M22" s="127" t="str">
        <x:f>IFERROR(K22/J22,"")</x:f>
      </x:c>
      <x:c r="N22" s="123"/>
      <x:c r="O22" s="127" t="str">
        <x:f>IFERROR(N22/J22,"")</x:f>
      </x:c>
      <x:c r="P22" s="123"/>
      <x:c r="Q22" s="128"/>
      <x:c r="R22" s="128"/>
      <x:c r="S22" s="128"/>
      <x:c r="T22" s="129" t="str">
        <x:f>IF(COUNT(Q22:S22)=0,"",SUM(Q22:S22)-C22)</x:f>
      </x:c>
    </x:row>
    <x:row r="23" ht="20" customHeight="1">
      <x:c r="B23" s="122" t="n">
        <x:v>46235</x:v>
      </x:c>
      <x:c r="C23" s="123"/>
      <x:c r="D23" s="123"/>
      <x:c r="E23" s="124" t="str">
        <x:f>IF(OR(C23="",D23=""),"",C23-D23)</x:f>
      </x:c>
      <x:c r="F23" s="127" t="str">
        <x:f>IFERROR(D23/C23,"")</x:f>
      </x:c>
      <x:c r="G23" s="123"/>
      <x:c r="H23" s="127" t="str">
        <x:f>IFERROR(G23/C23,"")</x:f>
      </x:c>
      <x:c r="I23" s="123"/>
      <x:c r="J23" s="123"/>
      <x:c r="K23" s="123"/>
      <x:c r="L23" s="124" t="str">
        <x:f>IF(OR(J23="",K23=""),"",J23-K23)</x:f>
      </x:c>
      <x:c r="M23" s="127" t="str">
        <x:f>IFERROR(K23/J23,"")</x:f>
      </x:c>
      <x:c r="N23" s="123"/>
      <x:c r="O23" s="127" t="str">
        <x:f>IFERROR(N23/J23,"")</x:f>
      </x:c>
      <x:c r="P23" s="123"/>
      <x:c r="Q23" s="128"/>
      <x:c r="R23" s="128"/>
      <x:c r="S23" s="128"/>
      <x:c r="T23" s="129" t="str">
        <x:f>IF(COUNT(Q23:S23)=0,"",SUM(Q23:S23)-C23)</x:f>
      </x:c>
    </x:row>
    <x:row r="24" ht="20" customHeight="1">
      <x:c r="B24" s="122" t="n">
        <x:v>46266</x:v>
      </x:c>
      <x:c r="C24" s="123"/>
      <x:c r="D24" s="123"/>
      <x:c r="E24" s="124" t="str">
        <x:f>IF(OR(C24="",D24=""),"",C24-D24)</x:f>
      </x:c>
      <x:c r="F24" s="127" t="str">
        <x:f>IFERROR(D24/C24,"")</x:f>
      </x:c>
      <x:c r="G24" s="123"/>
      <x:c r="H24" s="127" t="str">
        <x:f>IFERROR(G24/C24,"")</x:f>
      </x:c>
      <x:c r="I24" s="123"/>
      <x:c r="J24" s="123"/>
      <x:c r="K24" s="123"/>
      <x:c r="L24" s="124" t="str">
        <x:f>IF(OR(J24="",K24=""),"",J24-K24)</x:f>
      </x:c>
      <x:c r="M24" s="127" t="str">
        <x:f>IFERROR(K24/J24,"")</x:f>
      </x:c>
      <x:c r="N24" s="123"/>
      <x:c r="O24" s="127" t="str">
        <x:f>IFERROR(N24/J24,"")</x:f>
      </x:c>
      <x:c r="P24" s="123"/>
      <x:c r="Q24" s="128"/>
      <x:c r="R24" s="128"/>
      <x:c r="S24" s="128"/>
      <x:c r="T24" s="129" t="str">
        <x:f>IF(COUNT(Q24:S24)=0,"",SUM(Q24:S24)-C24)</x:f>
      </x:c>
    </x:row>
    <x:row r="25" ht="20" customHeight="1">
      <x:c r="B25" s="122" t="n">
        <x:v>46296</x:v>
      </x:c>
      <x:c r="C25" s="123"/>
      <x:c r="D25" s="123"/>
      <x:c r="E25" s="124" t="str">
        <x:f>IF(OR(C25="",D25=""),"",C25-D25)</x:f>
      </x:c>
      <x:c r="F25" s="127" t="str">
        <x:f>IFERROR(D25/C25,"")</x:f>
      </x:c>
      <x:c r="G25" s="123"/>
      <x:c r="H25" s="127" t="str">
        <x:f>IFERROR(G25/C25,"")</x:f>
      </x:c>
      <x:c r="I25" s="123"/>
      <x:c r="J25" s="123"/>
      <x:c r="K25" s="123"/>
      <x:c r="L25" s="124" t="str">
        <x:f>IF(OR(J25="",K25=""),"",J25-K25)</x:f>
      </x:c>
      <x:c r="M25" s="127" t="str">
        <x:f>IFERROR(K25/J25,"")</x:f>
      </x:c>
      <x:c r="N25" s="123"/>
      <x:c r="O25" s="127" t="str">
        <x:f>IFERROR(N25/J25,"")</x:f>
      </x:c>
      <x:c r="P25" s="123"/>
      <x:c r="Q25" s="128"/>
      <x:c r="R25" s="128"/>
      <x:c r="S25" s="128"/>
      <x:c r="T25" s="129" t="str">
        <x:f>IF(COUNT(Q25:S25)=0,"",SUM(Q25:S25)-C25)</x:f>
      </x:c>
    </x:row>
    <x:row r="26" ht="20" customHeight="1">
      <x:c r="B26" s="122" t="n">
        <x:v>46327</x:v>
      </x:c>
      <x:c r="C26" s="123"/>
      <x:c r="D26" s="123"/>
      <x:c r="E26" s="124" t="str">
        <x:f>IF(OR(C26="",D26=""),"",C26-D26)</x:f>
      </x:c>
      <x:c r="F26" s="127" t="str">
        <x:f>IFERROR(D26/C26,"")</x:f>
      </x:c>
      <x:c r="G26" s="123"/>
      <x:c r="H26" s="127" t="str">
        <x:f>IFERROR(G26/C26,"")</x:f>
      </x:c>
      <x:c r="I26" s="123"/>
      <x:c r="J26" s="123"/>
      <x:c r="K26" s="123"/>
      <x:c r="L26" s="124" t="str">
        <x:f>IF(OR(J26="",K26=""),"",J26-K26)</x:f>
      </x:c>
      <x:c r="M26" s="127" t="str">
        <x:f>IFERROR(K26/J26,"")</x:f>
      </x:c>
      <x:c r="N26" s="123"/>
      <x:c r="O26" s="127" t="str">
        <x:f>IFERROR(N26/J26,"")</x:f>
      </x:c>
      <x:c r="P26" s="123"/>
      <x:c r="Q26" s="128"/>
      <x:c r="R26" s="128"/>
      <x:c r="S26" s="128"/>
      <x:c r="T26" s="129" t="str">
        <x:f>IF(COUNT(Q26:S26)=0,"",SUM(Q26:S26)-C26)</x:f>
      </x:c>
    </x:row>
    <x:row r="27" ht="20" customHeight="1">
      <x:c r="B27" s="122" t="n">
        <x:v>46357</x:v>
      </x:c>
      <x:c r="C27" s="123"/>
      <x:c r="D27" s="123"/>
      <x:c r="E27" s="124" t="str">
        <x:f>IF(OR(C27="",D27=""),"",C27-D27)</x:f>
      </x:c>
      <x:c r="F27" s="127" t="str">
        <x:f>IFERROR(D27/C27,"")</x:f>
      </x:c>
      <x:c r="G27" s="123"/>
      <x:c r="H27" s="127" t="str">
        <x:f>IFERROR(G27/C27,"")</x:f>
      </x:c>
      <x:c r="I27" s="123"/>
      <x:c r="J27" s="123"/>
      <x:c r="K27" s="123"/>
      <x:c r="L27" s="124" t="str">
        <x:f>IF(OR(J27="",K27=""),"",J27-K27)</x:f>
      </x:c>
      <x:c r="M27" s="127" t="str">
        <x:f>IFERROR(K27/J27,"")</x:f>
      </x:c>
      <x:c r="N27" s="123"/>
      <x:c r="O27" s="127" t="str">
        <x:f>IFERROR(N27/J27,"")</x:f>
      </x:c>
      <x:c r="P27" s="123"/>
      <x:c r="Q27" s="128"/>
      <x:c r="R27" s="128"/>
      <x:c r="S27" s="128"/>
      <x:c r="T27" s="129" t="str">
        <x:f>IF(COUNT(Q27:S27)=0,"",SUM(Q27:S27)-C27)</x:f>
      </x:c>
    </x:row>
    <x:row r="28"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 ht="22" customHeight="1">
      <x:c r="B29" s="130" t="str">
        <x:v>SELECTED PERIOD CASH FLOW BRIDGE</x:v>
      </x:c>
      <x:c r="C29" s="130"/>
      <x:c r="D29" s="130"/>
      <x:c r="E29" s="130"/>
      <x:c r="F29" s="28"/>
      <x:c r="G29" s="130" t="str">
        <x:v>SELECTED PERIOD PAYMENT MIX</x:v>
      </x:c>
      <x:c r="H29" s="130"/>
      <x:c r="I29" s="130"/>
      <x:c r="J29" s="130"/>
      <x:c r="K29" s="28"/>
      <x:c r="L29" s="28"/>
      <x:c r="M29" s="28"/>
      <x:c r="N29" s="28"/>
      <x:c r="O29" s="28"/>
      <x:c r="P29" s="28"/>
    </x:row>
    <x:row r="30">
      <x:c r="B30" s="131" t="str">
        <x:v>Line Item</x:v>
      </x:c>
      <x:c r="C30" s="131" t="str">
        <x:v>Amount</x:v>
      </x:c>
      <x:c r="D30" s="28"/>
      <x:c r="E30" s="28"/>
      <x:c r="F30" s="28"/>
      <x:c r="G30" s="131" t="str">
        <x:v>Payment Method</x:v>
      </x:c>
      <x:c r="H30" s="131" t="str">
        <x:v>Amount / Status</x:v>
      </x:c>
      <x:c r="I30" s="28"/>
      <x:c r="J30" s="28"/>
      <x:c r="K30" s="28"/>
      <x:c r="L30" s="28"/>
      <x:c r="M30" s="28"/>
      <x:c r="N30" s="28"/>
      <x:c r="O30" s="28"/>
      <x:c r="P30" s="28"/>
    </x:row>
    <x:row r="31">
      <x:c r="B31" s="132" t="str">
        <x:v>System Sales</x:v>
      </x:c>
      <x:c r="C31" s="138" t="n">
        <x:f>'_Chart Helpers'!$B$2</x:f>
        <x:v>0</x:v>
      </x:c>
      <x:c r="D31" s="28"/>
      <x:c r="E31" s="28"/>
      <x:c r="F31" s="28"/>
      <x:c r="G31" s="132" t="str">
        <x:v>Cash</x:v>
      </x:c>
      <x:c r="H31" s="138" t="str">
        <x:f>IF(INDEX($Q$16:$Q$27,MATCH($C$9,$B$16:$B$27,0))="","",INDEX($Q$16:$Q$27,MATCH($C$9,$B$16:$B$27,0)))</x:f>
      </x:c>
      <x:c r="I31" s="28"/>
      <x:c r="J31" s="28"/>
      <x:c r="K31" s="28"/>
      <x:c r="L31" s="28"/>
      <x:c r="M31" s="28"/>
      <x:c r="N31" s="28"/>
      <x:c r="O31" s="28"/>
      <x:c r="P31" s="28"/>
    </x:row>
    <x:row r="32">
      <x:c r="B32" s="132" t="str">
        <x:v>Operating Expenses</x:v>
      </x:c>
      <x:c r="C32" s="138" t="n">
        <x:f>-'_Chart Helpers'!$B$3</x:f>
        <x:v>0</x:v>
      </x:c>
      <x:c r="D32" s="28"/>
      <x:c r="E32" s="28"/>
      <x:c r="F32" s="28"/>
      <x:c r="G32" s="132" t="str">
        <x:v>Card</x:v>
      </x:c>
      <x:c r="H32" s="138" t="str">
        <x:f>IF(INDEX($R$16:$R$27,MATCH($C$9,$B$16:$B$27,0))="","",INDEX($R$16:$R$27,MATCH($C$9,$B$16:$B$27,0)))</x:f>
      </x:c>
      <x:c r="I32" s="28"/>
      <x:c r="J32" s="28"/>
      <x:c r="K32" s="28"/>
      <x:c r="L32" s="28"/>
      <x:c r="M32" s="28"/>
      <x:c r="N32" s="28"/>
      <x:c r="O32" s="28"/>
      <x:c r="P32" s="28"/>
    </x:row>
    <x:row r="33">
      <x:c r="B33" s="132" t="str">
        <x:v>Net Operating Cash</x:v>
      </x:c>
      <x:c r="C33" s="138" t="n">
        <x:f>'_Chart Helpers'!$B$4</x:f>
        <x:v>0</x:v>
      </x:c>
      <x:c r="D33" s="28"/>
      <x:c r="E33" s="28"/>
      <x:c r="F33" s="28"/>
      <x:c r="G33" s="132" t="str">
        <x:v>Delivery</x:v>
      </x:c>
      <x:c r="H33" s="138" t="str">
        <x:f>IF(INDEX($S$16:$S$27,MATCH($C$9,$B$16:$B$27,0))="","",INDEX($S$16:$S$27,MATCH($C$9,$B$16:$B$27,0)))</x:f>
      </x:c>
      <x:c r="I33" s="28"/>
      <x:c r="J33" s="28"/>
      <x:c r="K33" s="28"/>
      <x:c r="L33" s="28"/>
      <x:c r="M33" s="28"/>
      <x:c r="N33" s="28"/>
      <x:c r="O33" s="28"/>
      <x:c r="P33" s="28"/>
    </x:row>
    <x:row r="34">
      <x:c r="B34" s="132" t="str">
        <x:v>Available Deposits</x:v>
      </x:c>
      <x:c r="C34" s="138" t="n">
        <x:f>'_Chart Helpers'!$B$6</x:f>
        <x:v>0</x:v>
      </x:c>
      <x:c r="D34" s="28"/>
      <x:c r="E34" s="28"/>
      <x:c r="F34" s="28"/>
      <x:c r="G34" s="132" t="str">
        <x:v>Payment Mix Check</x:v>
      </x:c>
      <x:c r="H34" s="138" t="str">
        <x:f>IF(INDEX($T$16:$T$27,MATCH($C$9,$B$16:$B$27,0))="","",INDEX($T$16:$T$27,MATCH($C$9,$B$16:$B$27,0)))</x:f>
      </x:c>
      <x:c r="I34" s="28"/>
      <x:c r="J34" s="28"/>
      <x:c r="K34" s="28"/>
      <x:c r="L34" s="28"/>
      <x:c r="M34" s="28"/>
      <x:c r="N34" s="28"/>
      <x:c r="O34" s="28"/>
      <x:c r="P34" s="28"/>
    </x:row>
    <x:row r="35">
      <x:c r="B35" s="132" t="str">
        <x:v>Cash Variance</x:v>
      </x:c>
      <x:c r="C35" s="138" t="n">
        <x:f>'_Chart Helpers'!$B$8</x:f>
        <x:v>0</x:v>
      </x:c>
      <x:c r="D35" s="28"/>
      <x:c r="E35" s="28"/>
      <x:c r="F35" s="28"/>
      <x:c r="G35" s="132" t="str">
        <x:v>Payment Mix Status</x:v>
      </x:c>
      <x:c r="H35" s="142" t="str">
        <x:f>IF(COUNT(H31:H33)=0,"NO DATA",IF(ABS(H34)&lt;=0.01,"PASS","CHECK"))</x:f>
        <x:v>NO DATA</x:v>
      </x:c>
      <x:c r="I35" s="28"/>
      <x:c r="J35" s="28"/>
      <x:c r="K35" s="28"/>
      <x:c r="L35" s="28"/>
      <x:c r="M35" s="28"/>
      <x:c r="N35" s="28"/>
      <x:c r="O35" s="28"/>
      <x:c r="P35" s="28"/>
    </x:row>
  </x:sheetData>
  <x:mergeCells>
    <x:mergeCell ref="C11:P11"/>
    <x:mergeCell ref="B29:E29"/>
    <x:mergeCell ref="G29:J29"/>
    <x:mergeCell ref="B5:P5"/>
    <x:mergeCell ref="B6:P6"/>
    <x:mergeCell ref="B7:P7"/>
    <x:mergeCell ref="B13:T13"/>
  </x:mergeCells>
  <x:conditionalFormatting sqref="H35:H35">
    <x:cfRule type="containsText" dxfId="3" priority="1" operator="containsText" text="PASS"/>
    <x:cfRule type="containsText" dxfId="4" priority="2" operator="containsText" text="CHECK"/>
  </x:conditionalFormatting>
  <x:dataValidations count="1">
    <x:dataValidation type="list" sqref="C9">
      <x:formula1>$B$16:$B$27</x:formula1>
    </x:dataValidation>
  </x:dataValidations>
  <x:pageMargins left="0.7" right="0.7" top="0.75" bottom="0.75" header="0.3" footer="0.3"/>
  <x:legacyDrawing xmlns:r="http://schemas.openxmlformats.org/officeDocument/2006/relationships" r:id="R3895b94dfe1645b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7" customWidth="1"/>
    <x:col min="2" max="4" width="14" customWidth="1"/>
    <x:col min="5" max="5" width="12" customWidth="1"/>
    <x:col min="6" max="6" width="14" customWidth="1"/>
    <x:col min="7" max="7" width="3" customWidth="1"/>
    <x:col min="8" max="8" width="14" customWidth="1"/>
    <x:col min="9" max="9" width="15" customWidth="1"/>
    <x:col min="10" max="10" width="14" customWidth="1"/>
    <x:col min="11" max="11" width="3" customWidth="1"/>
    <x:col min="12" max="12" width="14" customWidth="1"/>
    <x:col min="13" max="13" width="15" customWidth="1"/>
    <x:col min="14" max="14" width="14" customWidth="1"/>
    <x:col min="15" max="15" width="3" customWidth="1"/>
    <x:col min="16" max="16" width="24" customWidth="1"/>
    <x:col min="17" max="17" width="15" customWidth="1"/>
    <x:col min="18" max="18" width="3" customWidth="1"/>
    <x:col min="19" max="19" width="16" customWidth="1"/>
    <x:col min="20" max="20" width="15" customWidth="1"/>
  </x:cols>
  <x:sheetData>
    <x:row r="1">
      <x:c r="A1" s="3" t="str">
        <x:v>Metric</x:v>
      </x:c>
      <x:c r="B1" s="3" t="str">
        <x:v>Actual</x:v>
      </x:c>
      <x:c r="C1" s="3" t="str">
        <x:v>Target / Tolerance</x:v>
      </x:c>
      <x:c r="D1" s="3" t="str">
        <x:v>Prior</x:v>
      </x:c>
      <x:c r="E1" s="3" t="str">
        <x:v>Direction</x:v>
      </x:c>
      <x:c r="F1" s="3" t="str">
        <x:v>Status</x:v>
      </x:c>
      <x:c r="G1" s="4"/>
      <x:c r="H1" s="3" t="str">
        <x:v>Period</x:v>
      </x:c>
      <x:c r="I1" s="3" t="str">
        <x:v>System Sales</x:v>
      </x:c>
      <x:c r="J1" s="3" t="str">
        <x:v>Target</x:v>
      </x:c>
      <x:c r="K1" s="4"/>
      <x:c r="L1" s="3" t="str">
        <x:v>Period</x:v>
      </x:c>
      <x:c r="M1" s="3" t="str">
        <x:v>Operating Expenses</x:v>
      </x:c>
      <x:c r="N1" s="3" t="str">
        <x:v>Budget</x:v>
      </x:c>
      <x:c r="O1" s="4"/>
      <x:c r="P1" s="3" t="str">
        <x:v>Stage</x:v>
      </x:c>
      <x:c r="Q1" s="3" t="str">
        <x:v>Amount</x:v>
      </x:c>
      <x:c r="R1" s="4"/>
      <x:c r="S1" s="3" t="str">
        <x:v>Payment Method</x:v>
      </x:c>
      <x:c r="T1" s="3" t="str">
        <x:v>Sales</x:v>
      </x:c>
    </x:row>
    <x:row r="2">
      <x:c r="A2" s="4" t="str">
        <x:v>System Sales</x:v>
      </x:c>
      <x:c r="B2" s="143" t="str">
        <x:f>IF(INDEX('Data &amp; Targets'!$C$16:$C$27,MATCH('Data &amp; Targets'!$C$9,'Data &amp; Targets'!$B$16:$B$27,0))="","",INDEX('Data &amp; Targets'!$C$16:$C$27,MATCH('Data &amp; Targets'!$C$9,'Data &amp; Targets'!$B$16:$B$27,0)))</x:f>
      </x:c>
      <x:c r="C2" s="143" t="str">
        <x:f>IF(INDEX('Data &amp; Targets'!$J$16:$J$27,MATCH('Data &amp; Targets'!$C$9,'Data &amp; Targets'!$B$16:$B$27,0))="","",INDEX('Data &amp; Targets'!$J$16:$J$27,MATCH('Data &amp; Targets'!$C$9,'Data &amp; Targets'!$B$16:$B$27,0)))</x:f>
      </x:c>
      <x:c r="D2" s="143" t="str">
        <x:f>IF(MATCH('Data &amp; Targets'!$C$9,'Data &amp; Targets'!$B$16:$B$27,0)&lt;=1,"",IF(INDEX('Data &amp; Targets'!$C$16:$C$27,MATCH('Data &amp; Targets'!$C$9,'Data &amp; Targets'!$B$16:$B$27,0)-1)="","",INDEX('Data &amp; Targets'!$C$16:$C$27,MATCH('Data &amp; Targets'!$C$9,'Data &amp; Targets'!$B$16:$B$27,0)-1)))</x:f>
      </x:c>
      <x:c r="E2" s="4" t="str">
        <x:f t="shared" ref="E2:E7" si="0">"Higher"</x:f>
        <x:v>Higher</x:v>
      </x:c>
      <x:c r="F2" s="4" t="str">
        <x:f t="shared" ref="F2:F9" si="1">IF(OR(B2="",C2=""),"Needs Data",IF(E2="Within",IF(ABS(B2)&lt;=C2,"Favorable",IF(ABS(B2)&lt;=C2*1.05,"Watch","Unfavorable")),IF(E2="Higher",IF(B2&gt;=C2,"Favorable",IF(B2&gt;=C2*0.95,"Watch","Unfavorable")),IF(B2&lt;=C2,"Favorable",IF(B2&lt;=C2*1.05,"Watch","Unfavorable")))))</x:f>
        <x:v>Needs Data</x:v>
      </x:c>
      <x:c r="G2" s="4"/>
      <x:c r="H2" s="11" t="str">
        <x:f>TEXT('Data &amp; Targets'!B16,"mmm yyyy")</x:f>
        <x:v>Jan 2026</x:v>
      </x:c>
      <x:c r="I2" s="143" t="n">
        <x:f>IF(COUNT('Data &amp; Targets'!$C$16:$C$27)=0,0,IF('Data &amp; Targets'!C16="","",'Data &amp; Targets'!C16))</x:f>
        <x:v>0</x:v>
      </x:c>
      <x:c r="J2" s="143" t="n">
        <x:f>IF(COUNT('Data &amp; Targets'!$C$16:$C$27)=0,0,IF('Data &amp; Targets'!J16="","",'Data &amp; Targets'!J16))</x:f>
        <x:v>0</x:v>
      </x:c>
      <x:c r="K2" s="4"/>
      <x:c r="L2" s="11" t="str">
        <x:f>TEXT('Data &amp; Targets'!B16,"mmm yyyy")</x:f>
        <x:v>Jan 2026</x:v>
      </x:c>
      <x:c r="M2" s="143" t="n">
        <x:f>IF(COUNT('Data &amp; Targets'!$D$16:$D$27)=0,0,IF('Data &amp; Targets'!D16="","",'Data &amp; Targets'!D16))</x:f>
        <x:v>0</x:v>
      </x:c>
      <x:c r="N2" s="143" t="n">
        <x:f>IF(COUNT('Data &amp; Targets'!$D$16:$D$27)=0,0,IF('Data &amp; Targets'!K16="","",'Data &amp; Targets'!K16))</x:f>
        <x:v>0</x:v>
      </x:c>
      <x:c r="O2" s="4"/>
      <x:c r="P2" s="4" t="str">
        <x:f>IF(COUNT('Data &amp; Targets'!$C$16:$C$27)=0,"No data loaded","System Sales")</x:f>
        <x:v>No data loaded</x:v>
      </x:c>
      <x:c r="Q2" s="143" t="n">
        <x:f>IF(COUNT('Data &amp; Targets'!$C$16:$C$27)=0,1,IF($B$2="",0,$B$2))</x:f>
        <x:v>1</x:v>
      </x:c>
      <x:c r="R2" s="4"/>
      <x:c r="S2" s="4" t="str">
        <x:f>IF(COUNT(INDEX('Data &amp; Targets'!$Q$16:$Q$27,MATCH('Data &amp; Targets'!$C$9,'Data &amp; Targets'!$B$16:$B$27,0)),INDEX('Data &amp; Targets'!$R$16:$R$27,MATCH('Data &amp; Targets'!$C$9,'Data &amp; Targets'!$B$16:$B$27,0)),INDEX('Data &amp; Targets'!$S$16:$S$27,MATCH('Data &amp; Targets'!$C$9,'Data &amp; Targets'!$B$16:$B$27,0)))=0,"No data loaded","Cash")</x:f>
        <x:v>No data loaded</x:v>
      </x:c>
      <x:c r="T2" s="143" t="n">
        <x:f>IF(COUNT(INDEX('Data &amp; Targets'!$Q$16:$Q$27,MATCH('Data &amp; Targets'!$C$9,'Data &amp; Targets'!$B$16:$B$27,0)),INDEX('Data &amp; Targets'!$R$16:$R$27,MATCH('Data &amp; Targets'!$C$9,'Data &amp; Targets'!$B$16:$B$27,0)),INDEX('Data &amp; Targets'!$S$16:$S$27,MATCH('Data &amp; Targets'!$C$9,'Data &amp; Targets'!$B$16:$B$27,0)))=0,1,IF(INDEX('Data &amp; Targets'!$Q$16:$Q$27,MATCH('Data &amp; Targets'!$C$9,'Data &amp; Targets'!$B$16:$B$27,0))="",0,INDEX('Data &amp; Targets'!$Q$16:$Q$27,MATCH('Data &amp; Targets'!$C$9,'Data &amp; Targets'!$B$16:$B$27,0))))</x:f>
        <x:v>1</x:v>
      </x:c>
    </x:row>
    <x:row r="3">
      <x:c r="A3" s="4" t="str">
        <x:v>Operating Expenses</x:v>
      </x:c>
      <x:c r="B3" s="143" t="str">
        <x:f>IF(INDEX('Data &amp; Targets'!$D$16:$D$27,MATCH('Data &amp; Targets'!$C$9,'Data &amp; Targets'!$B$16:$B$27,0))="","",INDEX('Data &amp; Targets'!$D$16:$D$27,MATCH('Data &amp; Targets'!$C$9,'Data &amp; Targets'!$B$16:$B$27,0)))</x:f>
      </x:c>
      <x:c r="C3" s="143" t="str">
        <x:f>IF(INDEX('Data &amp; Targets'!$K$16:$K$27,MATCH('Data &amp; Targets'!$C$9,'Data &amp; Targets'!$B$16:$B$27,0))="","",INDEX('Data &amp; Targets'!$K$16:$K$27,MATCH('Data &amp; Targets'!$C$9,'Data &amp; Targets'!$B$16:$B$27,0)))</x:f>
      </x:c>
      <x:c r="D3" s="143" t="str">
        <x:f>IF(MATCH('Data &amp; Targets'!$C$9,'Data &amp; Targets'!$B$16:$B$27,0)&lt;=1,"",IF(INDEX('Data &amp; Targets'!$D$16:$D$27,MATCH('Data &amp; Targets'!$C$9,'Data &amp; Targets'!$B$16:$B$27,0)-1)="","",INDEX('Data &amp; Targets'!$D$16:$D$27,MATCH('Data &amp; Targets'!$C$9,'Data &amp; Targets'!$B$16:$B$27,0)-1)))</x:f>
      </x:c>
      <x:c r="E3" s="4" t="str">
        <x:f t="shared" si="0"/>
        <x:v>Lower</x:v>
      </x:c>
      <x:c r="F3" s="4" t="str">
        <x:f t="shared" si="1">IF(OR(B3="",C3=""),"Needs Data",IF(E3="Within",IF(ABS(B3)&lt;=C3,"Favorable",IF(ABS(B3)&lt;=C3*1.05,"Watch","Unfavorable")),IF(E3="Higher",IF(B3&gt;=C3,"Favorable",IF(B3&gt;=C3*0.95,"Watch","Unfavorable")),IF(B3&lt;=C3,"Favorable",IF(B3&lt;=C3*1.05,"Watch","Unfavorable")))))</x:f>
        <x:v>Needs Data</x:v>
      </x:c>
      <x:c r="G3" s="4"/>
      <x:c r="H3" s="11" t="str">
        <x:f>TEXT('Data &amp; Targets'!B17,"mmm yyyy")</x:f>
        <x:v>Feb 2026</x:v>
      </x:c>
      <x:c r="I3" s="143" t="n">
        <x:f>IF(COUNT('Data &amp; Targets'!$C$16:$C$27)=0,0,IF('Data &amp; Targets'!C17="","",'Data &amp; Targets'!C17))</x:f>
        <x:v>0</x:v>
      </x:c>
      <x:c r="J3" s="143" t="n">
        <x:f>IF(COUNT('Data &amp; Targets'!$C$16:$C$27)=0,0,IF('Data &amp; Targets'!J17="","",'Data &amp; Targets'!J17))</x:f>
        <x:v>0</x:v>
      </x:c>
      <x:c r="K3" s="4"/>
      <x:c r="L3" s="11" t="str">
        <x:f>TEXT('Data &amp; Targets'!B17,"mmm yyyy")</x:f>
        <x:v>Feb 2026</x:v>
      </x:c>
      <x:c r="M3" s="143" t="n">
        <x:f>IF(COUNT('Data &amp; Targets'!$D$16:$D$27)=0,0,IF('Data &amp; Targets'!D17="","",'Data &amp; Targets'!D17))</x:f>
        <x:v>0</x:v>
      </x:c>
      <x:c r="N3" s="143" t="n">
        <x:f>IF(COUNT('Data &amp; Targets'!$D$16:$D$27)=0,0,IF('Data &amp; Targets'!K17="","",'Data &amp; Targets'!K17))</x:f>
        <x:v>0</x:v>
      </x:c>
      <x:c r="O3" s="4"/>
      <x:c r="P3" s="4" t="str">
        <x:f>"Operating Expenses"</x:f>
        <x:v>Operating Expenses</x:v>
      </x:c>
      <x:c r="Q3" s="143" t="n">
        <x:f>IF(COUNT('Data &amp; Targets'!$C$16:$C$27)=0,0,-ABS(IF($B$3="",0,$B$3)))</x:f>
        <x:v>0</x:v>
      </x:c>
      <x:c r="R3" s="4"/>
      <x:c r="S3" s="4" t="str">
        <x:f>"Card"</x:f>
        <x:v>Card</x:v>
      </x:c>
      <x:c r="T3" s="143" t="n">
        <x:f>IF(COUNT(INDEX('Data &amp; Targets'!$Q$16:$Q$27,MATCH('Data &amp; Targets'!$C$9,'Data &amp; Targets'!$B$16:$B$27,0)),INDEX('Data &amp; Targets'!$R$16:$R$27,MATCH('Data &amp; Targets'!$C$9,'Data &amp; Targets'!$B$16:$B$27,0)),INDEX('Data &amp; Targets'!$S$16:$S$27,MATCH('Data &amp; Targets'!$C$9,'Data &amp; Targets'!$B$16:$B$27,0)))=0,0,IF(INDEX('Data &amp; Targets'!$R$16:$R$27,MATCH('Data &amp; Targets'!$C$9,'Data &amp; Targets'!$B$16:$B$27,0))="",0,INDEX('Data &amp; Targets'!$R$16:$R$27,MATCH('Data &amp; Targets'!$C$9,'Data &amp; Targets'!$B$16:$B$27,0))))</x:f>
        <x:v>0</x:v>
      </x:c>
    </x:row>
    <x:row r="4">
      <x:c r="A4" s="4" t="str">
        <x:v>Net Operating Cash</x:v>
      </x:c>
      <x:c r="B4" s="143" t="str">
        <x:f>IF(INDEX('Data &amp; Targets'!$E$16:$E$27,MATCH('Data &amp; Targets'!$C$9,'Data &amp; Targets'!$B$16:$B$27,0))="","",INDEX('Data &amp; Targets'!$E$16:$E$27,MATCH('Data &amp; Targets'!$C$9,'Data &amp; Targets'!$B$16:$B$27,0)))</x:f>
      </x:c>
      <x:c r="C4" s="143" t="str">
        <x:f>IF(INDEX('Data &amp; Targets'!$L$16:$L$27,MATCH('Data &amp; Targets'!$C$9,'Data &amp; Targets'!$B$16:$B$27,0))="","",INDEX('Data &amp; Targets'!$L$16:$L$27,MATCH('Data &amp; Targets'!$C$9,'Data &amp; Targets'!$B$16:$B$27,0)))</x:f>
      </x:c>
      <x:c r="D4" s="143" t="str">
        <x:f>IF(MATCH('Data &amp; Targets'!$C$9,'Data &amp; Targets'!$B$16:$B$27,0)&lt;=1,"",IF(INDEX('Data &amp; Targets'!$E$16:$E$27,MATCH('Data &amp; Targets'!$C$9,'Data &amp; Targets'!$B$16:$B$27,0)-1)="","",INDEX('Data &amp; Targets'!$E$16:$E$27,MATCH('Data &amp; Targets'!$C$9,'Data &amp; Targets'!$B$16:$B$27,0)-1)))</x:f>
      </x:c>
      <x:c r="E4" s="4" t="str">
        <x:f t="shared" si="0"/>
        <x:v>Higher</x:v>
      </x:c>
      <x:c r="F4" s="4" t="str">
        <x:f t="shared" si="1">IF(OR(B4="",C4=""),"Needs Data",IF(E4="Within",IF(ABS(B4)&lt;=C4,"Favorable",IF(ABS(B4)&lt;=C4*1.05,"Watch","Unfavorable")),IF(E4="Higher",IF(B4&gt;=C4,"Favorable",IF(B4&gt;=C4*0.95,"Watch","Unfavorable")),IF(B4&lt;=C4,"Favorable",IF(B4&lt;=C4*1.05,"Watch","Unfavorable")))))</x:f>
        <x:v>Needs Data</x:v>
      </x:c>
      <x:c r="G4" s="4"/>
      <x:c r="H4" s="11" t="str">
        <x:f>TEXT('Data &amp; Targets'!B18,"mmm yyyy")</x:f>
        <x:v>Mar 2026</x:v>
      </x:c>
      <x:c r="I4" s="143" t="n">
        <x:f>IF(COUNT('Data &amp; Targets'!$C$16:$C$27)=0,0,IF('Data &amp; Targets'!C18="","",'Data &amp; Targets'!C18))</x:f>
        <x:v>0</x:v>
      </x:c>
      <x:c r="J4" s="143" t="n">
        <x:f>IF(COUNT('Data &amp; Targets'!$C$16:$C$27)=0,0,IF('Data &amp; Targets'!J18="","",'Data &amp; Targets'!J18))</x:f>
        <x:v>0</x:v>
      </x:c>
      <x:c r="K4" s="4"/>
      <x:c r="L4" s="11" t="str">
        <x:f>TEXT('Data &amp; Targets'!B18,"mmm yyyy")</x:f>
        <x:v>Mar 2026</x:v>
      </x:c>
      <x:c r="M4" s="143" t="n">
        <x:f>IF(COUNT('Data &amp; Targets'!$D$16:$D$27)=0,0,IF('Data &amp; Targets'!D18="","",'Data &amp; Targets'!D18))</x:f>
        <x:v>0</x:v>
      </x:c>
      <x:c r="N4" s="143" t="n">
        <x:f>IF(COUNT('Data &amp; Targets'!$D$16:$D$27)=0,0,IF('Data &amp; Targets'!K18="","",'Data &amp; Targets'!K18))</x:f>
        <x:v>0</x:v>
      </x:c>
      <x:c r="O4" s="4"/>
      <x:c r="P4" s="4" t="str">
        <x:f>"Net Operating Cash"</x:f>
        <x:v>Net Operating Cash</x:v>
      </x:c>
      <x:c r="Q4" s="143" t="n">
        <x:f>IF(COUNT('Data &amp; Targets'!$C$16:$C$27)=0,0,IF($B$4="",0,$B$4))</x:f>
        <x:v>0</x:v>
      </x:c>
      <x:c r="R4" s="4"/>
      <x:c r="S4" s="4" t="str">
        <x:f>"Delivery"</x:f>
        <x:v>Delivery</x:v>
      </x:c>
      <x:c r="T4" s="143" t="n">
        <x:f>IF(COUNT(INDEX('Data &amp; Targets'!$Q$16:$Q$27,MATCH('Data &amp; Targets'!$C$9,'Data &amp; Targets'!$B$16:$B$27,0)),INDEX('Data &amp; Targets'!$R$16:$R$27,MATCH('Data &amp; Targets'!$C$9,'Data &amp; Targets'!$B$16:$B$27,0)),INDEX('Data &amp; Targets'!$S$16:$S$27,MATCH('Data &amp; Targets'!$C$9,'Data &amp; Targets'!$B$16:$B$27,0)))=0,0,IF(INDEX('Data &amp; Targets'!$S$16:$S$27,MATCH('Data &amp; Targets'!$C$9,'Data &amp; Targets'!$B$16:$B$27,0))="",0,INDEX('Data &amp; Targets'!$S$16:$S$27,MATCH('Data &amp; Targets'!$C$9,'Data &amp; Targets'!$B$16:$B$27,0))))</x:f>
        <x:v>0</x:v>
      </x:c>
    </x:row>
    <x:row r="5">
      <x:c r="A5" s="4" t="str">
        <x:v>Expense Rate</x:v>
      </x:c>
      <x:c r="B5" s="144" t="str">
        <x:f>IF(INDEX('Data &amp; Targets'!$F$16:$F$27,MATCH('Data &amp; Targets'!$C$9,'Data &amp; Targets'!$B$16:$B$27,0))="","",INDEX('Data &amp; Targets'!$F$16:$F$27,MATCH('Data &amp; Targets'!$C$9,'Data &amp; Targets'!$B$16:$B$27,0)))</x:f>
      </x:c>
      <x:c r="C5" s="144" t="str">
        <x:f>IF(INDEX('Data &amp; Targets'!$M$16:$M$27,MATCH('Data &amp; Targets'!$C$9,'Data &amp; Targets'!$B$16:$B$27,0))="","",INDEX('Data &amp; Targets'!$M$16:$M$27,MATCH('Data &amp; Targets'!$C$9,'Data &amp; Targets'!$B$16:$B$27,0)))</x:f>
      </x:c>
      <x:c r="D5" s="144" t="str">
        <x:f>IF(MATCH('Data &amp; Targets'!$C$9,'Data &amp; Targets'!$B$16:$B$27,0)&lt;=1,"",IF(INDEX('Data &amp; Targets'!$F$16:$F$27,MATCH('Data &amp; Targets'!$C$9,'Data &amp; Targets'!$B$16:$B$27,0)-1)="","",INDEX('Data &amp; Targets'!$F$16:$F$27,MATCH('Data &amp; Targets'!$C$9,'Data &amp; Targets'!$B$16:$B$27,0)-1)))</x:f>
      </x:c>
      <x:c r="E5" s="4" t="str">
        <x:f t="shared" si="0"/>
        <x:v>Lower</x:v>
      </x:c>
      <x:c r="F5" s="4" t="str">
        <x:f t="shared" si="1">IF(OR(B5="",C5=""),"Needs Data",IF(E5="Within",IF(ABS(B5)&lt;=C5,"Favorable",IF(ABS(B5)&lt;=C5*1.05,"Watch","Unfavorable")),IF(E5="Higher",IF(B5&gt;=C5,"Favorable",IF(B5&gt;=C5*0.95,"Watch","Unfavorable")),IF(B5&lt;=C5,"Favorable",IF(B5&lt;=C5*1.05,"Watch","Unfavorable")))))</x:f>
        <x:v>Needs Data</x:v>
      </x:c>
      <x:c r="G5" s="4"/>
      <x:c r="H5" s="11" t="str">
        <x:f>TEXT('Data &amp; Targets'!B19,"mmm yyyy")</x:f>
        <x:v>Apr 2026</x:v>
      </x:c>
      <x:c r="I5" s="143" t="n">
        <x:f>IF(COUNT('Data &amp; Targets'!$C$16:$C$27)=0,0,IF('Data &amp; Targets'!C19="","",'Data &amp; Targets'!C19))</x:f>
        <x:v>0</x:v>
      </x:c>
      <x:c r="J5" s="143" t="n">
        <x:f>IF(COUNT('Data &amp; Targets'!$C$16:$C$27)=0,0,IF('Data &amp; Targets'!J19="","",'Data &amp; Targets'!J19))</x:f>
        <x:v>0</x:v>
      </x:c>
      <x:c r="K5" s="4"/>
      <x:c r="L5" s="11" t="str">
        <x:f>TEXT('Data &amp; Targets'!B19,"mmm yyyy")</x:f>
        <x:v>Apr 2026</x:v>
      </x:c>
      <x:c r="M5" s="143" t="n">
        <x:f>IF(COUNT('Data &amp; Targets'!$D$16:$D$27)=0,0,IF('Data &amp; Targets'!D19="","",'Data &amp; Targets'!D19))</x:f>
        <x:v>0</x:v>
      </x:c>
      <x:c r="N5" s="143" t="n">
        <x:f>IF(COUNT('Data &amp; Targets'!$D$16:$D$27)=0,0,IF('Data &amp; Targets'!K19="","",'Data &amp; Targets'!K19))</x:f>
        <x:v>0</x:v>
      </x:c>
      <x:c r="O5" s="4"/>
      <x:c r="P5" s="4" t="str">
        <x:f>"Available Deposits"</x:f>
        <x:v>Available Deposits</x:v>
      </x:c>
      <x:c r="Q5" s="143" t="n">
        <x:f>IF(COUNT('Data &amp; Targets'!$C$16:$C$27)=0,0,IF($B$6="",0,$B$6))</x:f>
        <x:v>0</x:v>
      </x:c>
      <x:c r="R5" s="4"/>
      <x:c r="S5" s="4"/>
      <x:c r="T5" s="9"/>
    </x:row>
    <x:row r="6">
      <x:c r="A6" s="4" t="str">
        <x:v>Available Deposits</x:v>
      </x:c>
      <x:c r="B6" s="143" t="str">
        <x:f>IF(INDEX('Data &amp; Targets'!$G$16:$G$27,MATCH('Data &amp; Targets'!$C$9,'Data &amp; Targets'!$B$16:$B$27,0))="","",INDEX('Data &amp; Targets'!$G$16:$G$27,MATCH('Data &amp; Targets'!$C$9,'Data &amp; Targets'!$B$16:$B$27,0)))</x:f>
      </x:c>
      <x:c r="C6" s="143" t="str">
        <x:f>IF(INDEX('Data &amp; Targets'!$N$16:$N$27,MATCH('Data &amp; Targets'!$C$9,'Data &amp; Targets'!$B$16:$B$27,0))="","",INDEX('Data &amp; Targets'!$N$16:$N$27,MATCH('Data &amp; Targets'!$C$9,'Data &amp; Targets'!$B$16:$B$27,0)))</x:f>
      </x:c>
      <x:c r="D6" s="143" t="str">
        <x:f>IF(MATCH('Data &amp; Targets'!$C$9,'Data &amp; Targets'!$B$16:$B$27,0)&lt;=1,"",IF(INDEX('Data &amp; Targets'!$G$16:$G$27,MATCH('Data &amp; Targets'!$C$9,'Data &amp; Targets'!$B$16:$B$27,0)-1)="","",INDEX('Data &amp; Targets'!$G$16:$G$27,MATCH('Data &amp; Targets'!$C$9,'Data &amp; Targets'!$B$16:$B$27,0)-1)))</x:f>
      </x:c>
      <x:c r="E6" s="4" t="str">
        <x:f t="shared" si="0"/>
        <x:v>Higher</x:v>
      </x:c>
      <x:c r="F6" s="4" t="str">
        <x:f t="shared" si="1">IF(OR(B6="",C6=""),"Needs Data",IF(E6="Within",IF(ABS(B6)&lt;=C6,"Favorable",IF(ABS(B6)&lt;=C6*1.05,"Watch","Unfavorable")),IF(E6="Higher",IF(B6&gt;=C6,"Favorable",IF(B6&gt;=C6*0.95,"Watch","Unfavorable")),IF(B6&lt;=C6,"Favorable",IF(B6&lt;=C6*1.05,"Watch","Unfavorable")))))</x:f>
        <x:v>Needs Data</x:v>
      </x:c>
      <x:c r="G6" s="4"/>
      <x:c r="H6" s="11" t="str">
        <x:f>TEXT('Data &amp; Targets'!B20,"mmm yyyy")</x:f>
        <x:v>May 2026</x:v>
      </x:c>
      <x:c r="I6" s="143" t="n">
        <x:f>IF(COUNT('Data &amp; Targets'!$C$16:$C$27)=0,0,IF('Data &amp; Targets'!C20="","",'Data &amp; Targets'!C20))</x:f>
        <x:v>0</x:v>
      </x:c>
      <x:c r="J6" s="143" t="n">
        <x:f>IF(COUNT('Data &amp; Targets'!$C$16:$C$27)=0,0,IF('Data &amp; Targets'!J20="","",'Data &amp; Targets'!J20))</x:f>
        <x:v>0</x:v>
      </x:c>
      <x:c r="K6" s="4"/>
      <x:c r="L6" s="11" t="str">
        <x:f>TEXT('Data &amp; Targets'!B20,"mmm yyyy")</x:f>
        <x:v>May 2026</x:v>
      </x:c>
      <x:c r="M6" s="143" t="n">
        <x:f>IF(COUNT('Data &amp; Targets'!$D$16:$D$27)=0,0,IF('Data &amp; Targets'!D20="","",'Data &amp; Targets'!D20))</x:f>
        <x:v>0</x:v>
      </x:c>
      <x:c r="N6" s="143" t="n">
        <x:f>IF(COUNT('Data &amp; Targets'!$D$16:$D$27)=0,0,IF('Data &amp; Targets'!K20="","",'Data &amp; Targets'!K20))</x:f>
        <x:v>0</x:v>
      </x:c>
      <x:c r="O6" s="4"/>
      <x:c r="P6" s="4" t="str">
        <x:f>"Cash Variance"</x:f>
        <x:v>Cash Variance</x:v>
      </x:c>
      <x:c r="Q6" s="143" t="n">
        <x:f>IF(COUNT('Data &amp; Targets'!$C$16:$C$27)=0,0,IF($B$8="",0,$B$8))</x:f>
        <x:v>0</x:v>
      </x:c>
      <x:c r="R6" s="4"/>
      <x:c r="S6" s="4"/>
      <x:c r="T6" s="4"/>
    </x:row>
    <x:row r="7">
      <x:c r="A7" s="4" t="str">
        <x:v>Deposit Conversion</x:v>
      </x:c>
      <x:c r="B7" s="144" t="str">
        <x:f>IF(INDEX('Data &amp; Targets'!$H$16:$H$27,MATCH('Data &amp; Targets'!$C$9,'Data &amp; Targets'!$B$16:$B$27,0))="","",INDEX('Data &amp; Targets'!$H$16:$H$27,MATCH('Data &amp; Targets'!$C$9,'Data &amp; Targets'!$B$16:$B$27,0)))</x:f>
      </x:c>
      <x:c r="C7" s="144" t="str">
        <x:f>IF(INDEX('Data &amp; Targets'!$O$16:$O$27,MATCH('Data &amp; Targets'!$C$9,'Data &amp; Targets'!$B$16:$B$27,0))="","",INDEX('Data &amp; Targets'!$O$16:$O$27,MATCH('Data &amp; Targets'!$C$9,'Data &amp; Targets'!$B$16:$B$27,0)))</x:f>
      </x:c>
      <x:c r="D7" s="144" t="str">
        <x:f>IF(MATCH('Data &amp; Targets'!$C$9,'Data &amp; Targets'!$B$16:$B$27,0)&lt;=1,"",IF(INDEX('Data &amp; Targets'!$H$16:$H$27,MATCH('Data &amp; Targets'!$C$9,'Data &amp; Targets'!$B$16:$B$27,0)-1)="","",INDEX('Data &amp; Targets'!$H$16:$H$27,MATCH('Data &amp; Targets'!$C$9,'Data &amp; Targets'!$B$16:$B$27,0)-1)))</x:f>
      </x:c>
      <x:c r="E7" s="4" t="str">
        <x:f t="shared" si="0"/>
        <x:v>Higher</x:v>
      </x:c>
      <x:c r="F7" s="4" t="str">
        <x:f t="shared" si="1">IF(OR(B7="",C7=""),"Needs Data",IF(E7="Within",IF(ABS(B7)&lt;=C7,"Favorable",IF(ABS(B7)&lt;=C7*1.05,"Watch","Unfavorable")),IF(E7="Higher",IF(B7&gt;=C7,"Favorable",IF(B7&gt;=C7*0.95,"Watch","Unfavorable")),IF(B7&lt;=C7,"Favorable",IF(B7&lt;=C7*1.05,"Watch","Unfavorable")))))</x:f>
        <x:v>Needs Data</x:v>
      </x:c>
      <x:c r="G7" s="4"/>
      <x:c r="H7" s="11" t="str">
        <x:f>TEXT('Data &amp; Targets'!B21,"mmm yyyy")</x:f>
        <x:v>Jun 2026</x:v>
      </x:c>
      <x:c r="I7" s="143" t="n">
        <x:f>IF(COUNT('Data &amp; Targets'!$C$16:$C$27)=0,0,IF('Data &amp; Targets'!C21="","",'Data &amp; Targets'!C21))</x:f>
        <x:v>0</x:v>
      </x:c>
      <x:c r="J7" s="143" t="n">
        <x:f>IF(COUNT('Data &amp; Targets'!$C$16:$C$27)=0,0,IF('Data &amp; Targets'!J21="","",'Data &amp; Targets'!J21))</x:f>
        <x:v>0</x:v>
      </x:c>
      <x:c r="K7" s="4"/>
      <x:c r="L7" s="11" t="str">
        <x:f>TEXT('Data &amp; Targets'!B21,"mmm yyyy")</x:f>
        <x:v>Jun 2026</x:v>
      </x:c>
      <x:c r="M7" s="143" t="n">
        <x:f>IF(COUNT('Data &amp; Targets'!$D$16:$D$27)=0,0,IF('Data &amp; Targets'!D21="","",'Data &amp; Targets'!D21))</x:f>
        <x:v>0</x:v>
      </x:c>
      <x:c r="N7" s="143" t="n">
        <x:f>IF(COUNT('Data &amp; Targets'!$D$16:$D$27)=0,0,IF('Data &amp; Targets'!K21="","",'Data &amp; Targets'!K21))</x:f>
        <x:v>0</x:v>
      </x:c>
      <x:c r="O7" s="4"/>
      <x:c r="P7" s="4"/>
      <x:c r="Q7" s="4"/>
      <x:c r="R7" s="4"/>
      <x:c r="S7" s="4"/>
      <x:c r="T7" s="4"/>
    </x:row>
    <x:row r="8">
      <x:c r="A8" s="4" t="str">
        <x:v>Cash Variance</x:v>
      </x:c>
      <x:c r="B8" s="143" t="str">
        <x:f>IF(INDEX('Data &amp; Targets'!$I$16:$I$27,MATCH('Data &amp; Targets'!$C$9,'Data &amp; Targets'!$B$16:$B$27,0))="","",INDEX('Data &amp; Targets'!$I$16:$I$27,MATCH('Data &amp; Targets'!$C$9,'Data &amp; Targets'!$B$16:$B$27,0)))</x:f>
      </x:c>
      <x:c r="C8" s="143" t="str">
        <x:f>IF(INDEX('Data &amp; Targets'!$P$16:$P$27,MATCH('Data &amp; Targets'!$C$9,'Data &amp; Targets'!$B$16:$B$27,0))="","",INDEX('Data &amp; Targets'!$P$16:$P$27,MATCH('Data &amp; Targets'!$C$9,'Data &amp; Targets'!$B$16:$B$27,0)))</x:f>
      </x:c>
      <x:c r="D8" s="143" t="str">
        <x:f>IF(MATCH('Data &amp; Targets'!$C$9,'Data &amp; Targets'!$B$16:$B$27,0)&lt;=1,"",IF(INDEX('Data &amp; Targets'!$I$16:$I$27,MATCH('Data &amp; Targets'!$C$9,'Data &amp; Targets'!$B$16:$B$27,0)-1)="","",INDEX('Data &amp; Targets'!$I$16:$I$27,MATCH('Data &amp; Targets'!$C$9,'Data &amp; Targets'!$B$16:$B$27,0)-1)))</x:f>
      </x:c>
      <x:c r="E8" s="4" t="str">
        <x:v>Within</x:v>
      </x:c>
      <x:c r="F8" s="4" t="str">
        <x:f t="shared" si="1">IF(OR(B8="",C8=""),"Needs Data",IF(E8="Within",IF(ABS(B8)&lt;=C8,"Favorable",IF(ABS(B8)&lt;=C8*1.05,"Watch","Unfavorable")),IF(E8="Higher",IF(B8&gt;=C8,"Favorable",IF(B8&gt;=C8*0.95,"Watch","Unfavorable")),IF(B8&lt;=C8,"Favorable",IF(B8&lt;=C8*1.05,"Watch","Unfavorable")))))</x:f>
        <x:v>Needs Data</x:v>
      </x:c>
      <x:c r="G8" s="4"/>
      <x:c r="H8" s="11" t="str">
        <x:f>TEXT('Data &amp; Targets'!B22,"mmm yyyy")</x:f>
        <x:v>Jul 2026</x:v>
      </x:c>
      <x:c r="I8" s="143" t="n">
        <x:f>IF(COUNT('Data &amp; Targets'!$C$16:$C$27)=0,0,IF('Data &amp; Targets'!C22="","",'Data &amp; Targets'!C22))</x:f>
        <x:v>0</x:v>
      </x:c>
      <x:c r="J8" s="143" t="n">
        <x:f>IF(COUNT('Data &amp; Targets'!$C$16:$C$27)=0,0,IF('Data &amp; Targets'!J22="","",'Data &amp; Targets'!J22))</x:f>
        <x:v>0</x:v>
      </x:c>
      <x:c r="K8" s="4"/>
      <x:c r="L8" s="11" t="str">
        <x:f>TEXT('Data &amp; Targets'!B22,"mmm yyyy")</x:f>
        <x:v>Jul 2026</x:v>
      </x:c>
      <x:c r="M8" s="143" t="n">
        <x:f>IF(COUNT('Data &amp; Targets'!$D$16:$D$27)=0,0,IF('Data &amp; Targets'!D22="","",'Data &amp; Targets'!D22))</x:f>
        <x:v>0</x:v>
      </x:c>
      <x:c r="N8" s="143" t="n">
        <x:f>IF(COUNT('Data &amp; Targets'!$D$16:$D$27)=0,0,IF('Data &amp; Targets'!K22="","",'Data &amp; Targets'!K22))</x:f>
        <x:v>0</x:v>
      </x:c>
      <x:c r="O8" s="4"/>
      <x:c r="P8" s="4"/>
      <x:c r="Q8" s="4"/>
      <x:c r="R8" s="4"/>
      <x:c r="S8" s="4"/>
      <x:c r="T8" s="4"/>
    </x:row>
    <x:row r="9">
      <x:c r="A9" s="4" t="str">
        <x:v>Net Cash Margin</x:v>
      </x:c>
      <x:c r="B9" s="144" t="str">
        <x:f>IF(B2="","",IFERROR(B4/B2,""))</x:f>
      </x:c>
      <x:c r="C9" s="144" t="str">
        <x:f>IF(C2="","",IFERROR(C4/C2,""))</x:f>
      </x:c>
      <x:c r="D9" s="144" t="str">
        <x:f>IF(D2="","",IFERROR(D4/D2,""))</x:f>
      </x:c>
      <x:c r="E9" s="4" t="str">
        <x:v>Higher</x:v>
      </x:c>
      <x:c r="F9" s="4" t="str">
        <x:f t="shared" si="1">IF(OR(B9="",C9=""),"Needs Data",IF(B9&gt;=C9,"Favorable",IF(B9&gt;=C9*0.95,"Watch","Unfavorable")))</x:f>
        <x:v>Needs Data</x:v>
      </x:c>
      <x:c r="G9" s="4"/>
      <x:c r="H9" s="11" t="str">
        <x:f>TEXT('Data &amp; Targets'!B23,"mmm yyyy")</x:f>
        <x:v>Aug 2026</x:v>
      </x:c>
      <x:c r="I9" s="143" t="n">
        <x:f>IF(COUNT('Data &amp; Targets'!$C$16:$C$27)=0,0,IF('Data &amp; Targets'!C23="","",'Data &amp; Targets'!C23))</x:f>
        <x:v>0</x:v>
      </x:c>
      <x:c r="J9" s="143" t="n">
        <x:f>IF(COUNT('Data &amp; Targets'!$C$16:$C$27)=0,0,IF('Data &amp; Targets'!J23="","",'Data &amp; Targets'!J23))</x:f>
        <x:v>0</x:v>
      </x:c>
      <x:c r="K9" s="4"/>
      <x:c r="L9" s="11" t="str">
        <x:f>TEXT('Data &amp; Targets'!B23,"mmm yyyy")</x:f>
        <x:v>Aug 2026</x:v>
      </x:c>
      <x:c r="M9" s="143" t="n">
        <x:f>IF(COUNT('Data &amp; Targets'!$D$16:$D$27)=0,0,IF('Data &amp; Targets'!D23="","",'Data &amp; Targets'!D23))</x:f>
        <x:v>0</x:v>
      </x:c>
      <x:c r="N9" s="143" t="n">
        <x:f>IF(COUNT('Data &amp; Targets'!$D$16:$D$27)=0,0,IF('Data &amp; Targets'!K23="","",'Data &amp; Targets'!K23))</x:f>
        <x:v>0</x:v>
      </x:c>
      <x:c r="O9" s="4"/>
      <x:c r="P9" s="4"/>
      <x:c r="Q9" s="4"/>
      <x:c r="R9" s="4"/>
      <x:c r="S9" s="4"/>
      <x:c r="T9" s="4"/>
    </x:row>
    <x:row r="10">
      <x:c r="A10" s="4"/>
      <x:c r="B10" s="4"/>
      <x:c r="C10" s="4"/>
      <x:c r="D10" s="4"/>
      <x:c r="E10" s="4"/>
      <x:c r="F10" s="4"/>
      <x:c r="G10" s="4"/>
      <x:c r="H10" s="11" t="str">
        <x:f>TEXT('Data &amp; Targets'!B24,"mmm yyyy")</x:f>
        <x:v>Sep 2026</x:v>
      </x:c>
      <x:c r="I10" s="143" t="n">
        <x:f>IF(COUNT('Data &amp; Targets'!$C$16:$C$27)=0,0,IF('Data &amp; Targets'!C24="","",'Data &amp; Targets'!C24))</x:f>
        <x:v>0</x:v>
      </x:c>
      <x:c r="J10" s="143" t="n">
        <x:f>IF(COUNT('Data &amp; Targets'!$C$16:$C$27)=0,0,IF('Data &amp; Targets'!J24="","",'Data &amp; Targets'!J24))</x:f>
        <x:v>0</x:v>
      </x:c>
      <x:c r="K10" s="4"/>
      <x:c r="L10" s="11" t="str">
        <x:f>TEXT('Data &amp; Targets'!B24,"mmm yyyy")</x:f>
        <x:v>Sep 2026</x:v>
      </x:c>
      <x:c r="M10" s="143" t="n">
        <x:f>IF(COUNT('Data &amp; Targets'!$D$16:$D$27)=0,0,IF('Data &amp; Targets'!D24="","",'Data &amp; Targets'!D24))</x:f>
        <x:v>0</x:v>
      </x:c>
      <x:c r="N10" s="143" t="n">
        <x:f>IF(COUNT('Data &amp; Targets'!$D$16:$D$27)=0,0,IF('Data &amp; Targets'!K24="","",'Data &amp; Targets'!K24))</x:f>
        <x:v>0</x:v>
      </x:c>
      <x:c r="O10" s="4"/>
      <x:c r="P10" s="4"/>
      <x:c r="Q10" s="4"/>
      <x:c r="R10" s="4"/>
      <x:c r="S10" s="4"/>
      <x:c r="T10" s="4"/>
    </x:row>
    <x:row r="11">
      <x:c r="A11" s="4"/>
      <x:c r="B11" s="4"/>
      <x:c r="C11" s="4"/>
      <x:c r="D11" s="4"/>
      <x:c r="E11" s="4"/>
      <x:c r="F11" s="4"/>
      <x:c r="G11" s="4"/>
      <x:c r="H11" s="11" t="str">
        <x:f>TEXT('Data &amp; Targets'!B25,"mmm yyyy")</x:f>
        <x:v>Oct 2026</x:v>
      </x:c>
      <x:c r="I11" s="143" t="n">
        <x:f>IF(COUNT('Data &amp; Targets'!$C$16:$C$27)=0,0,IF('Data &amp; Targets'!C25="","",'Data &amp; Targets'!C25))</x:f>
        <x:v>0</x:v>
      </x:c>
      <x:c r="J11" s="143" t="n">
        <x:f>IF(COUNT('Data &amp; Targets'!$C$16:$C$27)=0,0,IF('Data &amp; Targets'!J25="","",'Data &amp; Targets'!J25))</x:f>
        <x:v>0</x:v>
      </x:c>
      <x:c r="K11" s="4"/>
      <x:c r="L11" s="11" t="str">
        <x:f>TEXT('Data &amp; Targets'!B25,"mmm yyyy")</x:f>
        <x:v>Oct 2026</x:v>
      </x:c>
      <x:c r="M11" s="143" t="n">
        <x:f>IF(COUNT('Data &amp; Targets'!$D$16:$D$27)=0,0,IF('Data &amp; Targets'!D25="","",'Data &amp; Targets'!D25))</x:f>
        <x:v>0</x:v>
      </x:c>
      <x:c r="N11" s="143" t="n">
        <x:f>IF(COUNT('Data &amp; Targets'!$D$16:$D$27)=0,0,IF('Data &amp; Targets'!K25="","",'Data &amp; Targets'!K25))</x:f>
        <x:v>0</x:v>
      </x:c>
      <x:c r="O11" s="4"/>
      <x:c r="P11" s="4"/>
      <x:c r="Q11" s="4"/>
      <x:c r="R11" s="4"/>
      <x:c r="S11" s="4"/>
      <x:c r="T11" s="4"/>
    </x:row>
    <x:row r="12">
      <x:c r="A12" s="4"/>
      <x:c r="B12" s="4"/>
      <x:c r="C12" s="4"/>
      <x:c r="D12" s="4"/>
      <x:c r="E12" s="4"/>
      <x:c r="F12" s="4"/>
      <x:c r="G12" s="4"/>
      <x:c r="H12" s="11" t="str">
        <x:f>TEXT('Data &amp; Targets'!B26,"mmm yyyy")</x:f>
        <x:v>Nov 2026</x:v>
      </x:c>
      <x:c r="I12" s="143" t="n">
        <x:f>IF(COUNT('Data &amp; Targets'!$C$16:$C$27)=0,0,IF('Data &amp; Targets'!C26="","",'Data &amp; Targets'!C26))</x:f>
        <x:v>0</x:v>
      </x:c>
      <x:c r="J12" s="143" t="n">
        <x:f>IF(COUNT('Data &amp; Targets'!$C$16:$C$27)=0,0,IF('Data &amp; Targets'!J26="","",'Data &amp; Targets'!J26))</x:f>
        <x:v>0</x:v>
      </x:c>
      <x:c r="K12" s="4"/>
      <x:c r="L12" s="11" t="str">
        <x:f>TEXT('Data &amp; Targets'!B26,"mmm yyyy")</x:f>
        <x:v>Nov 2026</x:v>
      </x:c>
      <x:c r="M12" s="143" t="n">
        <x:f>IF(COUNT('Data &amp; Targets'!$D$16:$D$27)=0,0,IF('Data &amp; Targets'!D26="","",'Data &amp; Targets'!D26))</x:f>
        <x:v>0</x:v>
      </x:c>
      <x:c r="N12" s="143" t="n">
        <x:f>IF(COUNT('Data &amp; Targets'!$D$16:$D$27)=0,0,IF('Data &amp; Targets'!K26="","",'Data &amp; Targets'!K26))</x:f>
        <x:v>0</x:v>
      </x:c>
      <x:c r="O12" s="4"/>
      <x:c r="P12" s="4"/>
      <x:c r="Q12" s="4"/>
      <x:c r="R12" s="4"/>
      <x:c r="S12" s="4"/>
      <x:c r="T12" s="4"/>
    </x:row>
    <x:row r="13">
      <x:c r="A13" s="4"/>
      <x:c r="B13" s="4"/>
      <x:c r="C13" s="4"/>
      <x:c r="D13" s="4"/>
      <x:c r="E13" s="4"/>
      <x:c r="F13" s="4"/>
      <x:c r="G13" s="4"/>
      <x:c r="H13" s="11" t="str">
        <x:f>TEXT('Data &amp; Targets'!B27,"mmm yyyy")</x:f>
        <x:v>Dec 2026</x:v>
      </x:c>
      <x:c r="I13" s="143" t="n">
        <x:f>IF(COUNT('Data &amp; Targets'!$C$16:$C$27)=0,0,IF('Data &amp; Targets'!C27="","",'Data &amp; Targets'!C27))</x:f>
        <x:v>0</x:v>
      </x:c>
      <x:c r="J13" s="143" t="n">
        <x:f>IF(COUNT('Data &amp; Targets'!$C$16:$C$27)=0,0,IF('Data &amp; Targets'!J27="","",'Data &amp; Targets'!J27))</x:f>
        <x:v>0</x:v>
      </x:c>
      <x:c r="K13" s="4"/>
      <x:c r="L13" s="11" t="str">
        <x:f>TEXT('Data &amp; Targets'!B27,"mmm yyyy")</x:f>
        <x:v>Dec 2026</x:v>
      </x:c>
      <x:c r="M13" s="143" t="n">
        <x:f>IF(COUNT('Data &amp; Targets'!$D$16:$D$27)=0,0,IF('Data &amp; Targets'!D27="","",'Data &amp; Targets'!D27))</x:f>
        <x:v>0</x:v>
      </x:c>
      <x:c r="N13" s="143" t="n">
        <x:f>IF(COUNT('Data &amp; Targets'!$D$16:$D$27)=0,0,IF('Data &amp; Targets'!K27="","",'Data &amp; Targets'!K27))</x:f>
        <x:v>0</x:v>
      </x:c>
      <x:c r="O13" s="4"/>
      <x:c r="P13" s="4"/>
      <x:c r="Q13" s="4"/>
      <x:c r="R13" s="4"/>
      <x:c r="S13" s="4"/>
      <x:c r="T13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62" hidden="0" customWidth="1"/>
    <x:col min="7" max="7" width="28" hidden="0" customWidth="1"/>
    <x:col min="8" max="8" width="48" hidden="0" customWidth="1"/>
  </x:cols>
  <x:sheetData>
    <x:row r="1" ht="28" hidden="0" customHeight="1">
      <x:c r="A1" s="153" t="str">
        <x:v>Financial Dashboard — Checks &amp; Sources</x:v>
      </x:c>
      <x:c r="B1" s="153"/>
      <x:c r="C1" s="153"/>
      <x:c r="D1" s="153"/>
      <x:c r="E1" s="153"/>
      <x:c r="F1" s="153"/>
      <x:c r="G1" s="153"/>
      <x:c r="H1" s="153"/>
    </x:row>
    <x:row r="2" ht="28" hidden="0" customHeight="1">
      <x:c r="A2" s="154" t="str">
        <x:v>Audit trail for definitions, data readiness and monthly refresh controls</x:v>
      </x:c>
      <x:c r="B2" s="153"/>
      <x:c r="C2" s="153"/>
      <x:c r="D2" s="153"/>
      <x:c r="E2" s="153"/>
      <x:c r="F2" s="153"/>
      <x:c r="G2" s="153"/>
      <x:c r="H2" s="153"/>
    </x:row>
    <x:row r="3" ht="22" hidden="0" customHeight="1">
      <x:c r="A3" s="160" t="str">
        <x:v>Version</x:v>
      </x:c>
      <x:c r="B3" s="161" t="str">
        <x:v>1.0</x:v>
      </x:c>
      <x:c r="C3" s="161"/>
      <x:c r="D3" s="161" t="str">
        <x:v>Built</x:v>
      </x:c>
      <x:c r="E3" s="162" t="n">
        <x:v>46220</x:v>
      </x:c>
      <x:c r="F3" s="161"/>
      <x:c r="G3" s="161" t="str">
        <x:v>Currency</x:v>
      </x:c>
      <x:c r="H3" s="163" t="str">
        <x:v>GTQ</x:v>
      </x:c>
    </x:row>
    <x:row r="4" ht="22" customHeight="1"/>
    <x:row r="5" ht="22" hidden="0" customHeight="1">
      <x:c r="A5" s="95" t="str">
        <x:v>MODEL STATUS &amp; CONTROLS</x:v>
      </x:c>
      <x:c r="B5" s="95"/>
      <x:c r="C5" s="95"/>
      <x:c r="D5" s="95"/>
      <x:c r="E5" s="95"/>
      <x:c r="F5" s="95"/>
      <x:c r="G5" s="95"/>
      <x:c r="H5" s="95"/>
    </x:row>
    <x:row r="6" ht="22" hidden="0" customHeight="1">
      <x:c r="A6" s="170" t="str">
        <x:v>Overall Status</x:v>
      </x:c>
      <x:c r="B6" s="175" t="str">
        <x:f>IF(COUNTIF(F8:F12,"&lt;&gt;OK")=0,"PASS","NEEDS INPUT")</x:f>
        <x:v>NEEDS INPUT</x:v>
      </x:c>
      <x:c r="C6" s="170"/>
      <x:c r="D6" s="170"/>
      <x:c r="E6" s="170"/>
      <x:c r="F6" s="170"/>
      <x:c r="G6" s="170" t="str">
        <x:v>Interpretation</x:v>
      </x:c>
      <x:c r="H6" s="170" t="str">
        <x:v>PASS only when all required monthly inputs and controls pass.</x:v>
      </x:c>
    </x:row>
    <x:row r="7" ht="22" hidden="0" customHeight="1">
      <x:c r="A7" s="168" t="str">
        <x:v>Check</x:v>
      </x:c>
      <x:c r="B7" s="168" t="str">
        <x:v>Actual</x:v>
      </x:c>
      <x:c r="C7" s="168" t="str">
        <x:v>Expected</x:v>
      </x:c>
      <x:c r="D7" s="168" t="str">
        <x:v>Difference</x:v>
      </x:c>
      <x:c r="E7" s="168" t="str">
        <x:v>Tolerance</x:v>
      </x:c>
      <x:c r="F7" s="168" t="str">
        <x:v>Status</x:v>
      </x:c>
      <x:c r="G7" s="168" t="str">
        <x:v>Where to Fix</x:v>
      </x:c>
      <x:c r="H7" s="168" t="str">
        <x:v>Notes</x:v>
      </x:c>
    </x:row>
    <x:row r="8" ht="22" hidden="0" customHeight="1">
      <x:c r="A8" s="170" t="str">
        <x:v>Actual months loaded</x:v>
      </x:c>
      <x:c r="B8" s="171" t="n">
        <x:f>COUNT('Data &amp; Targets'!$C$16:$C$27)</x:f>
        <x:v>0</x:v>
      </x:c>
      <x:c r="C8" s="171" t="n">
        <x:v>12</x:v>
      </x:c>
      <x:c r="D8" s="171" t="n">
        <x:f>B8-C8</x:f>
        <x:v>-12</x:v>
      </x:c>
      <x:c r="E8" s="171" t="n">
        <x:v>0</x:v>
      </x:c>
      <x:c r="F8" s="170" t="str">
        <x:f>IF(B8=C8,"OK","ACTION REQUIRED")</x:f>
        <x:v>ACTION REQUIRED</x:v>
      </x:c>
      <x:c r="G8" s="170" t="str">
        <x:v>Data &amp; Targets!C16:C27</x:v>
      </x:c>
      <x:c r="H8" s="170" t="str">
        <x:v>Load all 12 monthly System Sales values.</x:v>
      </x:c>
    </x:row>
    <x:row r="9" ht="22" hidden="0" customHeight="1">
      <x:c r="A9" s="170" t="str">
        <x:v>Sales target months loaded</x:v>
      </x:c>
      <x:c r="B9" s="171" t="n">
        <x:f>COUNT('Data &amp; Targets'!$J$16:$J$27)</x:f>
        <x:v>0</x:v>
      </x:c>
      <x:c r="C9" s="171" t="n">
        <x:v>12</x:v>
      </x:c>
      <x:c r="D9" s="171" t="n">
        <x:f>B9-C9</x:f>
        <x:v>-12</x:v>
      </x:c>
      <x:c r="E9" s="171" t="n">
        <x:v>0</x:v>
      </x:c>
      <x:c r="F9" s="170" t="str">
        <x:f>IF(B9=C9,"OK","ACTION REQUIRED")</x:f>
        <x:v>ACTION REQUIRED</x:v>
      </x:c>
      <x:c r="G9" s="170" t="str">
        <x:v>Data &amp; Targets!J16:J27</x:v>
      </x:c>
      <x:c r="H9" s="170" t="str">
        <x:v>Load all 12 monthly Sales Targets for variance analysis.</x:v>
      </x:c>
    </x:row>
    <x:row r="10" ht="22" hidden="0" customHeight="1">
      <x:c r="A10" s="170" t="str">
        <x:v>Selected-period payment mix ties to sales</x:v>
      </x:c>
      <x:c r="B10" s="172" t="n">
        <x:f>ABS(IF('_Chart Helpers'!$B$2="",0,SUM('Data &amp; Targets'!$H$31:$H$33)-'_Chart Helpers'!$B$2))</x:f>
        <x:v>0</x:v>
      </x:c>
      <x:c r="C10" s="172" t="n">
        <x:v>0</x:v>
      </x:c>
      <x:c r="D10" s="172" t="n">
        <x:f>B10-C10</x:f>
        <x:v>0</x:v>
      </x:c>
      <x:c r="E10" s="172" t="n">
        <x:v>0.01</x:v>
      </x:c>
      <x:c r="F10" s="170" t="str">
        <x:f>IF(COUNT('Data &amp; Targets'!$H$31:$H$33)=0,"ACTION REQUIRED",IF(B10&lt;=E10,"OK","CHECK"))</x:f>
        <x:v>ACTION REQUIRED</x:v>
      </x:c>
      <x:c r="G10" s="170" t="str">
        <x:v>Data &amp; Targets!Q16:S27</x:v>
      </x:c>
      <x:c r="H10" s="170" t="str">
        <x:v>Cash + Card + Delivery should equal System Sales for the selected month.</x:v>
      </x:c>
    </x:row>
    <x:row r="11" ht="22" hidden="0" customHeight="1">
      <x:c r="A11" s="170" t="str">
        <x:v>Negative sales / expense inputs</x:v>
      </x:c>
      <x:c r="B11" s="171" t="n">
        <x:f>COUNTIF('Data &amp; Targets'!$C$16:$D$27,"&lt;0")</x:f>
        <x:v>0</x:v>
      </x:c>
      <x:c r="C11" s="171" t="n">
        <x:v>0</x:v>
      </x:c>
      <x:c r="D11" s="171" t="n">
        <x:f>B11-C11</x:f>
        <x:v>0</x:v>
      </x:c>
      <x:c r="E11" s="171" t="n">
        <x:v>0</x:v>
      </x:c>
      <x:c r="F11" s="170" t="str">
        <x:f>IF(B11=C11,"OK","CHECK")</x:f>
        <x:v>OK</x:v>
      </x:c>
      <x:c r="G11" s="170" t="str">
        <x:v>Data &amp; Targets!C16:D27</x:v>
      </x:c>
      <x:c r="H11" s="170" t="str">
        <x:v>Sales and expense inputs should not be negative.</x:v>
      </x:c>
    </x:row>
    <x:row r="12" ht="22" hidden="0" customHeight="1">
      <x:c r="A12" s="170" t="str">
        <x:v>Selected period is in monthly table</x:v>
      </x:c>
      <x:c r="B12" s="171" t="n">
        <x:f>COUNTIF('Data &amp; Targets'!$B$16:$B$27,'Data &amp; Targets'!$C$9)</x:f>
        <x:v>1</x:v>
      </x:c>
      <x:c r="C12" s="171" t="n">
        <x:v>1</x:v>
      </x:c>
      <x:c r="D12" s="171" t="n">
        <x:f>B12-C12</x:f>
        <x:v>0</x:v>
      </x:c>
      <x:c r="E12" s="171" t="n">
        <x:v>0</x:v>
      </x:c>
      <x:c r="F12" s="170" t="str">
        <x:f>IF(B12=C12,"OK","CHECK")</x:f>
        <x:v>OK</x:v>
      </x:c>
      <x:c r="G12" s="170" t="str">
        <x:v>Data &amp; Targets!C9</x:v>
      </x:c>
      <x:c r="H12" s="170" t="str">
        <x:v>Selected reporting period must match one of the 12 month-start dates.</x:v>
      </x:c>
    </x:row>
    <x:row r="13" ht="22" customHeight="1"/>
    <x:row r="14" ht="22" hidden="0" customHeight="1">
      <x:c r="A14" s="95" t="str">
        <x:v>SOURCES &amp; DEFINITIONS</x:v>
      </x:c>
      <x:c r="B14" s="95"/>
      <x:c r="C14" s="95"/>
      <x:c r="D14" s="95"/>
      <x:c r="E14" s="95"/>
      <x:c r="F14" s="95"/>
      <x:c r="G14" s="95"/>
      <x:c r="H14" s="95"/>
    </x:row>
    <x:row r="15" ht="22" hidden="0" customHeight="1">
      <x:c r="A15" s="168" t="str">
        <x:v>Item</x:v>
      </x:c>
      <x:c r="B15" s="168" t="str">
        <x:v>Value / Definition</x:v>
      </x:c>
      <x:c r="C15" s="168" t="str">
        <x:v>Units</x:v>
      </x:c>
      <x:c r="D15" s="168" t="str">
        <x:v>Period / As-of</x:v>
      </x:c>
      <x:c r="E15" s="168" t="str">
        <x:v>Source Type</x:v>
      </x:c>
      <x:c r="F15" s="168" t="str">
        <x:v>Source / File</x:v>
      </x:c>
      <x:c r="G15" s="168" t="str">
        <x:v>Owner</x:v>
      </x:c>
      <x:c r="H15" s="168" t="str">
        <x:v>Notes</x:v>
      </x:c>
    </x:row>
    <x:row r="16" ht="48" hidden="0" customHeight="1">
      <x:c r="A16" s="179" t="str">
        <x:v>Currency</x:v>
      </x:c>
      <x:c r="B16" s="179" t="str">
        <x:v>Guatemalan quetzal</x:v>
      </x:c>
      <x:c r="C16" s="179" t="str">
        <x:v>GTQ</x:v>
      </x:c>
      <x:c r="D16" s="179" t="str">
        <x:v>Current app convention</x:v>
      </x:c>
      <x:c r="E16" s="179" t="str">
        <x:v>Local application</x:v>
      </x:c>
      <x:c r="F16" s="179" t="str">
        <x:v>C:/Users/Elizabeth/Desktop/GestionPedidos/SistemaFinanzas2-main/frontend/src/components/finanzas/Finanzas.js</x:v>
      </x:c>
      <x:c r="G16" s="179" t="str">
        <x:v>Finance team</x:v>
      </x:c>
      <x:c r="H16" s="179" t="str">
        <x:v>Confirmed by es-GT / GTQ currency formatter.</x:v>
      </x:c>
    </x:row>
    <x:row r="17" ht="48" hidden="0" customHeight="1">
      <x:c r="A17" s="179" t="str">
        <x:v>System Sales</x:v>
      </x:c>
      <x:c r="B17" s="179" t="str">
        <x:v>totalCierreEfectivo + totalCierreTarjeta + totalCierreMotorista</x:v>
      </x:c>
      <x:c r="C17" s="179" t="str">
        <x:v>GTQ</x:v>
      </x:c>
      <x:c r="D17" s="179" t="str">
        <x:v>Monthly</x:v>
      </x:c>
      <x:c r="E17" s="179" t="str">
        <x:v>Local application</x:v>
      </x:c>
      <x:c r="F17" s="179" t="str">
        <x:v>C:/Users/Elizabeth/Desktop/GestionPedidos/SistemaFinanzas2-main/frontend/src/hooks/useRegistrarCierreTotals.js</x:v>
      </x:c>
      <x:c r="G17" s="179" t="str">
        <x:v>Finance team</x:v>
      </x:c>
      <x:c r="H17" s="179" t="str">
        <x:v>Aggregate authenticated cierres by month before pasting.</x:v>
      </x:c>
    </x:row>
    <x:row r="18" ht="48" hidden="0" customHeight="1">
      <x:c r="A18" s="179" t="str">
        <x:v>Operating Expenses</x:v>
      </x:c>
      <x:c r="B18" s="179" t="str">
        <x:v>Sum of gastos.cantidad and documented payment records</x:v>
      </x:c>
      <x:c r="C18" s="179" t="str">
        <x:v>GTQ</x:v>
      </x:c>
      <x:c r="D18" s="179" t="str">
        <x:v>Monthly</x:v>
      </x:c>
      <x:c r="E18" s="179" t="str">
        <x:v>Local application</x:v>
      </x:c>
      <x:c r="F18" s="179" t="str">
        <x:v>C:/Users/Elizabeth/Desktop/GestionPedidos/SistemaFinanzas2-main/frontend/src/hooks/useRegistrarCierreTotals.js</x:v>
      </x:c>
      <x:c r="G18" s="179" t="str">
        <x:v>Finance team</x:v>
      </x:c>
      <x:c r="H18" s="179" t="str">
        <x:v>Use a consistent cutoff and exclude balance-sheet transfers if management reporting does so.</x:v>
      </x:c>
    </x:row>
    <x:row r="19" ht="48" hidden="0" customHeight="1">
      <x:c r="A19" s="179" t="str">
        <x:v>Available Deposits</x:v>
      </x:c>
      <x:c r="B19" s="179" t="str">
        <x:v>totalGeneral = net cash counted - expenses + petty cash used + shortage paid</x:v>
      </x:c>
      <x:c r="C19" s="179" t="str">
        <x:v>GTQ</x:v>
      </x:c>
      <x:c r="D19" s="179" t="str">
        <x:v>Monthly</x:v>
      </x:c>
      <x:c r="E19" s="179" t="str">
        <x:v>Local application</x:v>
      </x:c>
      <x:c r="F19" s="179" t="str">
        <x:v>C:/Users/Elizabeth/Desktop/GestionPedidos/SistemaFinanzas2-main/frontend/src/hooks/useRegistrarCierreTotals.js</x:v>
      </x:c>
      <x:c r="G19" s="179" t="str">
        <x:v>Finance team</x:v>
      </x:c>
      <x:c r="H19" s="179" t="str">
        <x:v>Mirrors the application's current totalGeneral definition.</x:v>
      </x:c>
    </x:row>
    <x:row r="20" ht="48" hidden="0" customHeight="1">
      <x:c r="A20" s="179" t="str">
        <x:v>Cash Variance</x:v>
      </x:c>
      <x:c r="B20" s="179" t="str">
        <x:v>(net counted cash + counted card) - (system cash + system card)</x:v>
      </x:c>
      <x:c r="C20" s="179" t="str">
        <x:v>GTQ</x:v>
      </x:c>
      <x:c r="D20" s="179" t="str">
        <x:v>Monthly</x:v>
      </x:c>
      <x:c r="E20" s="179" t="str">
        <x:v>Local application</x:v>
      </x:c>
      <x:c r="F20" s="179" t="str">
        <x:v>C:/Users/Elizabeth/Desktop/GestionPedidos/SistemaFinanzas2-main/frontend/src/hooks/useRegistrarCierreTotals.js</x:v>
      </x:c>
      <x:c r="G20" s="179" t="str">
        <x:v>Finance team</x:v>
      </x:c>
      <x:c r="H20" s="179" t="str">
        <x:v>Positive is surplus; negative is shortage. Compare absolute value with tolerance.</x:v>
      </x:c>
    </x:row>
    <x:row r="21" ht="48" hidden="0" customHeight="1">
      <x:c r="A21" s="179" t="str">
        <x:v>Deposit KPI</x:v>
      </x:c>
      <x:c r="B21" s="179" t="str">
        <x:v>Sum closures totalGeneral - non-adjustment payments + petty-cash adjustments</x:v>
      </x:c>
      <x:c r="C21" s="179" t="str">
        <x:v>GTQ</x:v>
      </x:c>
      <x:c r="D21" s="179" t="str">
        <x:v>As refreshed</x:v>
      </x:c>
      <x:c r="E21" s="179" t="str">
        <x:v>Local application</x:v>
      </x:c>
      <x:c r="F21" s="179" t="str">
        <x:v>C:/Users/Elizabeth/Desktop/GestionPedidos/SistemaFinanzas2-main/frontend/src/utils/kpi.js</x:v>
      </x:c>
      <x:c r="G21" s="179" t="str">
        <x:v>Finance team</x:v>
      </x:c>
      <x:c r="H21" s="179" t="str">
        <x:v>Use when reconciling the branch-level deposit balance.</x:v>
      </x:c>
    </x:row>
    <x:row r="22" ht="48" hidden="0" customHeight="1">
      <x:c r="A22" s="179" t="str">
        <x:v>Actual company values</x:v>
      </x:c>
      <x:c r="B22" s="179" t="str">
        <x:v>Not embedded; Firebase read requires authenticated access</x:v>
      </x:c>
      <x:c r="C22" s="179" t="str">
        <x:v>N/A</x:v>
      </x:c>
      <x:c r="D22" s="179" t="str">
        <x:v>2026-07-17</x:v>
      </x:c>
      <x:c r="E22" s="179" t="str">
        <x:v>Data availability</x:v>
      </x:c>
      <x:c r="F22" s="179" t="str">
        <x:v>Firebase collections: cierres, pagos, sucursales</x:v>
      </x:c>
      <x:c r="G22" s="179" t="str">
        <x:v>Data owner</x:v>
      </x:c>
      <x:c r="H22" s="179" t="str">
        <x:v>Paste an authenticated monthly export into the yellow cells; do not treat blanks as zero actuals.</x:v>
      </x:c>
    </x:row>
    <x:row r="23" ht="22" customHeight="1"/>
    <x:row r="24" ht="36" hidden="0" customHeight="1">
      <x:c r="A24" s="182" t="str">
        <x:v>Refresh sequence: export authenticated monthly cierres and pagos → aggregate the defined fields → paste yellow inputs → confirm Checks status → review Dashboard.</x:v>
      </x:c>
      <x:c r="B24" s="182"/>
      <x:c r="C24" s="182"/>
      <x:c r="D24" s="182"/>
      <x:c r="E24" s="182"/>
      <x:c r="F24" s="182"/>
      <x:c r="G24" s="182"/>
      <x:c r="H24" s="182"/>
    </x:row>
  </x:sheetData>
  <x:mergeCells>
    <x:mergeCell ref="A1:H1"/>
    <x:mergeCell ref="A2:H2"/>
    <x:mergeCell ref="A5:H5"/>
    <x:mergeCell ref="A14:H14"/>
    <x:mergeCell ref="A24:H24"/>
  </x:mergeCells>
  <x:conditionalFormatting sqref="B6:B6">
    <x:cfRule type="containsText" dxfId="5" priority="1" operator="containsText" text="PASS"/>
    <x:cfRule type="containsText" dxfId="6" priority="2" operator="containsText" text="NEEDS INPUT"/>
  </x:conditionalFormatting>
  <x:conditionalFormatting sqref="F8:F12">
    <x:cfRule type="containsText" dxfId="7" priority="3" operator="containsText" text="OK"/>
    <x:cfRule type="containsText" dxfId="8" priority="4" operator="containsText" text="CHECK"/>
    <x:cfRule type="containsText" dxfId="9" priority="5" operator="containsText" text="ACTION REQUIRED"/>
  </x:conditionalFormatting>
  <x:pageMargins left="0.7" right="0.7" top="0.75" bottom="0.75" header="0.3" footer="0.3"/>
</x:worksheet>
</file>